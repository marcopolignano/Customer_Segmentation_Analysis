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copolignano/Desktop/"/>
    </mc:Choice>
  </mc:AlternateContent>
  <xr:revisionPtr revIDLastSave="0" documentId="13_ncr:1_{167543F0-7CF5-9B40-B149-83CD103458C9}" xr6:coauthVersionLast="47" xr6:coauthVersionMax="47" xr10:uidLastSave="{00000000-0000-0000-0000-000000000000}"/>
  <bookViews>
    <workbookView xWindow="1140" yWindow="680" windowWidth="29100" windowHeight="18960" tabRatio="500" xr2:uid="{00000000-000D-0000-FFFF-FFFF00000000}"/>
  </bookViews>
  <sheets>
    <sheet name="00_Dataset" sheetId="9" r:id="rId1"/>
    <sheet name="01_Descriptive_Analysis" sheetId="1" r:id="rId2"/>
    <sheet name="02_EDA_Correlations" sheetId="8" r:id="rId3"/>
    <sheet name="03_Recency_Analysis" sheetId="3" r:id="rId4"/>
    <sheet name="04_Engagement_Analysis" sheetId="4" r:id="rId5"/>
    <sheet name="05_Product_Analysis" sheetId="6" r:id="rId6"/>
    <sheet name="06_Feedback_Analysis" sheetId="7" r:id="rId7"/>
    <sheet name="07_Marketing_Strategy" sheetId="5" r:id="rId8"/>
  </sheets>
  <definedNames>
    <definedName name="_xlnm._FilterDatabase" localSheetId="1" hidden="1">'00_Dataset'!$C$3:$C$103</definedName>
  </definedNames>
  <calcPr calcId="191029" iterateDelta="1E-4"/>
  <pivotCaches>
    <pivotCache cacheId="2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1" l="1"/>
  <c r="E10" i="1"/>
  <c r="E9" i="1"/>
  <c r="O67" i="8"/>
  <c r="O68" i="8" s="1"/>
  <c r="O38" i="8"/>
  <c r="O39" i="8" s="1"/>
  <c r="O9" i="8"/>
  <c r="O10" i="8" s="1"/>
  <c r="P4" i="9"/>
  <c r="Q4" i="9" s="1"/>
  <c r="R4" i="9"/>
  <c r="S4" i="9"/>
  <c r="P5" i="9"/>
  <c r="T5" i="9" s="1"/>
  <c r="R5" i="9"/>
  <c r="S5" i="9"/>
  <c r="P6" i="9"/>
  <c r="Q6" i="9" s="1"/>
  <c r="R6" i="9"/>
  <c r="S6" i="9"/>
  <c r="P7" i="9"/>
  <c r="Q7" i="9" s="1"/>
  <c r="R7" i="9"/>
  <c r="S7" i="9"/>
  <c r="P8" i="9"/>
  <c r="T8" i="9" s="1"/>
  <c r="R8" i="9"/>
  <c r="S8" i="9"/>
  <c r="P9" i="9"/>
  <c r="T9" i="9" s="1"/>
  <c r="R9" i="9"/>
  <c r="S9" i="9"/>
  <c r="P10" i="9"/>
  <c r="T10" i="9" s="1"/>
  <c r="R10" i="9"/>
  <c r="S10" i="9"/>
  <c r="P11" i="9"/>
  <c r="T11" i="9" s="1"/>
  <c r="R11" i="9"/>
  <c r="S11" i="9"/>
  <c r="P12" i="9"/>
  <c r="Q12" i="9" s="1"/>
  <c r="R12" i="9"/>
  <c r="S12" i="9" s="1"/>
  <c r="P13" i="9"/>
  <c r="T13" i="9" s="1"/>
  <c r="R13" i="9"/>
  <c r="S13" i="9"/>
  <c r="P14" i="9"/>
  <c r="Q14" i="9" s="1"/>
  <c r="R14" i="9"/>
  <c r="S14" i="9"/>
  <c r="P15" i="9"/>
  <c r="T15" i="9" s="1"/>
  <c r="R15" i="9"/>
  <c r="S15" i="9"/>
  <c r="P16" i="9"/>
  <c r="T16" i="9" s="1"/>
  <c r="R16" i="9"/>
  <c r="S16" i="9" s="1"/>
  <c r="P17" i="9"/>
  <c r="Q17" i="9" s="1"/>
  <c r="R17" i="9"/>
  <c r="S17" i="9"/>
  <c r="P18" i="9"/>
  <c r="T18" i="9" s="1"/>
  <c r="R18" i="9"/>
  <c r="S18" i="9"/>
  <c r="P19" i="9"/>
  <c r="T19" i="9" s="1"/>
  <c r="R19" i="9"/>
  <c r="S19" i="9" s="1"/>
  <c r="P20" i="9"/>
  <c r="T20" i="9" s="1"/>
  <c r="R20" i="9"/>
  <c r="S20" i="9"/>
  <c r="P21" i="9"/>
  <c r="T21" i="9" s="1"/>
  <c r="R21" i="9"/>
  <c r="S21" i="9"/>
  <c r="P22" i="9"/>
  <c r="T22" i="9" s="1"/>
  <c r="R22" i="9"/>
  <c r="S22" i="9"/>
  <c r="P23" i="9"/>
  <c r="Q23" i="9" s="1"/>
  <c r="R23" i="9"/>
  <c r="S23" i="9" s="1"/>
  <c r="P24" i="9"/>
  <c r="T24" i="9" s="1"/>
  <c r="R24" i="9"/>
  <c r="S24" i="9" s="1"/>
  <c r="P25" i="9"/>
  <c r="Q25" i="9" s="1"/>
  <c r="R25" i="9"/>
  <c r="S25" i="9"/>
  <c r="P26" i="9"/>
  <c r="T26" i="9" s="1"/>
  <c r="R26" i="9"/>
  <c r="S26" i="9"/>
  <c r="P27" i="9"/>
  <c r="T27" i="9" s="1"/>
  <c r="R27" i="9"/>
  <c r="S27" i="9" s="1"/>
  <c r="P28" i="9"/>
  <c r="Q28" i="9" s="1"/>
  <c r="R28" i="9"/>
  <c r="S28" i="9"/>
  <c r="P29" i="9"/>
  <c r="Q29" i="9" s="1"/>
  <c r="R29" i="9"/>
  <c r="S29" i="9" s="1"/>
  <c r="P30" i="9"/>
  <c r="T30" i="9" s="1"/>
  <c r="R30" i="9"/>
  <c r="S30" i="9" s="1"/>
  <c r="P31" i="9"/>
  <c r="Q31" i="9" s="1"/>
  <c r="R31" i="9"/>
  <c r="S31" i="9" s="1"/>
  <c r="P32" i="9"/>
  <c r="T32" i="9" s="1"/>
  <c r="R32" i="9"/>
  <c r="S32" i="9" s="1"/>
  <c r="P33" i="9"/>
  <c r="Q33" i="9" s="1"/>
  <c r="R33" i="9"/>
  <c r="S33" i="9"/>
  <c r="P34" i="9"/>
  <c r="T34" i="9" s="1"/>
  <c r="R34" i="9"/>
  <c r="S34" i="9"/>
  <c r="P35" i="9"/>
  <c r="T35" i="9" s="1"/>
  <c r="R35" i="9"/>
  <c r="S35" i="9" s="1"/>
  <c r="P36" i="9"/>
  <c r="T36" i="9" s="1"/>
  <c r="R36" i="9"/>
  <c r="S36" i="9"/>
  <c r="P37" i="9"/>
  <c r="Q37" i="9" s="1"/>
  <c r="R37" i="9"/>
  <c r="S37" i="9" s="1"/>
  <c r="P38" i="9"/>
  <c r="T38" i="9" s="1"/>
  <c r="R38" i="9"/>
  <c r="S38" i="9" s="1"/>
  <c r="P39" i="9"/>
  <c r="Q39" i="9" s="1"/>
  <c r="R39" i="9"/>
  <c r="S39" i="9" s="1"/>
  <c r="P40" i="9"/>
  <c r="T40" i="9" s="1"/>
  <c r="R40" i="9"/>
  <c r="S40" i="9" s="1"/>
  <c r="P41" i="9"/>
  <c r="Q41" i="9" s="1"/>
  <c r="R41" i="9"/>
  <c r="S41" i="9"/>
  <c r="P42" i="9"/>
  <c r="T42" i="9" s="1"/>
  <c r="R42" i="9"/>
  <c r="S42" i="9"/>
  <c r="P43" i="9"/>
  <c r="T43" i="9" s="1"/>
  <c r="R43" i="9"/>
  <c r="S43" i="9" s="1"/>
  <c r="P44" i="9"/>
  <c r="T44" i="9" s="1"/>
  <c r="R44" i="9"/>
  <c r="S44" i="9"/>
  <c r="P45" i="9"/>
  <c r="Q45" i="9" s="1"/>
  <c r="R45" i="9"/>
  <c r="S45" i="9"/>
  <c r="P46" i="9"/>
  <c r="T46" i="9" s="1"/>
  <c r="R46" i="9"/>
  <c r="S46" i="9" s="1"/>
  <c r="P47" i="9"/>
  <c r="T47" i="9" s="1"/>
  <c r="R47" i="9"/>
  <c r="S47" i="9" s="1"/>
  <c r="P48" i="9"/>
  <c r="T48" i="9" s="1"/>
  <c r="R48" i="9"/>
  <c r="S48" i="9"/>
  <c r="P49" i="9"/>
  <c r="Q49" i="9" s="1"/>
  <c r="R49" i="9"/>
  <c r="S49" i="9"/>
  <c r="P50" i="9"/>
  <c r="T50" i="9" s="1"/>
  <c r="R50" i="9"/>
  <c r="S50" i="9"/>
  <c r="P51" i="9"/>
  <c r="T51" i="9" s="1"/>
  <c r="R51" i="9"/>
  <c r="S51" i="9"/>
  <c r="P52" i="9"/>
  <c r="T52" i="9" s="1"/>
  <c r="R52" i="9"/>
  <c r="S52" i="9"/>
  <c r="P53" i="9"/>
  <c r="Q53" i="9" s="1"/>
  <c r="R53" i="9"/>
  <c r="S53" i="9"/>
  <c r="P54" i="9"/>
  <c r="Q54" i="9" s="1"/>
  <c r="R54" i="9"/>
  <c r="S54" i="9" s="1"/>
  <c r="P55" i="9"/>
  <c r="Q55" i="9" s="1"/>
  <c r="R55" i="9"/>
  <c r="S55" i="9" s="1"/>
  <c r="P56" i="9"/>
  <c r="T56" i="9" s="1"/>
  <c r="R56" i="9"/>
  <c r="S56" i="9" s="1"/>
  <c r="P57" i="9"/>
  <c r="Q57" i="9" s="1"/>
  <c r="R57" i="9"/>
  <c r="S57" i="9"/>
  <c r="P58" i="9"/>
  <c r="T58" i="9" s="1"/>
  <c r="R58" i="9"/>
  <c r="S58" i="9"/>
  <c r="P59" i="9"/>
  <c r="T59" i="9" s="1"/>
  <c r="R59" i="9"/>
  <c r="S59" i="9"/>
  <c r="P60" i="9"/>
  <c r="Q60" i="9" s="1"/>
  <c r="R60" i="9"/>
  <c r="S60" i="9"/>
  <c r="P61" i="9"/>
  <c r="T61" i="9" s="1"/>
  <c r="R61" i="9"/>
  <c r="S61" i="9"/>
  <c r="P62" i="9"/>
  <c r="Q62" i="9" s="1"/>
  <c r="R62" i="9"/>
  <c r="S62" i="9" s="1"/>
  <c r="P63" i="9"/>
  <c r="Q63" i="9" s="1"/>
  <c r="R63" i="9"/>
  <c r="S63" i="9"/>
  <c r="P64" i="9"/>
  <c r="T64" i="9" s="1"/>
  <c r="R64" i="9"/>
  <c r="S64" i="9" s="1"/>
  <c r="P65" i="9"/>
  <c r="T65" i="9" s="1"/>
  <c r="R65" i="9"/>
  <c r="S65" i="9"/>
  <c r="P66" i="9"/>
  <c r="T66" i="9" s="1"/>
  <c r="R66" i="9"/>
  <c r="S66" i="9"/>
  <c r="P67" i="9"/>
  <c r="T67" i="9" s="1"/>
  <c r="R67" i="9"/>
  <c r="S67" i="9"/>
  <c r="P68" i="9"/>
  <c r="Q68" i="9" s="1"/>
  <c r="R68" i="9"/>
  <c r="S68" i="9" s="1"/>
  <c r="P69" i="9"/>
  <c r="T69" i="9" s="1"/>
  <c r="R69" i="9"/>
  <c r="S69" i="9"/>
  <c r="P70" i="9"/>
  <c r="Q70" i="9" s="1"/>
  <c r="R70" i="9"/>
  <c r="S70" i="9" s="1"/>
  <c r="P71" i="9"/>
  <c r="Q71" i="9" s="1"/>
  <c r="R71" i="9"/>
  <c r="S71" i="9"/>
  <c r="P72" i="9"/>
  <c r="T72" i="9" s="1"/>
  <c r="R72" i="9"/>
  <c r="S72" i="9" s="1"/>
  <c r="P73" i="9"/>
  <c r="T73" i="9" s="1"/>
  <c r="R73" i="9"/>
  <c r="S73" i="9"/>
  <c r="P74" i="9"/>
  <c r="Q74" i="9" s="1"/>
  <c r="R74" i="9"/>
  <c r="S74" i="9"/>
  <c r="P75" i="9"/>
  <c r="Q75" i="9" s="1"/>
  <c r="R75" i="9"/>
  <c r="S75" i="9"/>
  <c r="P76" i="9"/>
  <c r="Q76" i="9" s="1"/>
  <c r="R76" i="9"/>
  <c r="S76" i="9" s="1"/>
  <c r="P77" i="9"/>
  <c r="T77" i="9" s="1"/>
  <c r="R77" i="9"/>
  <c r="S77" i="9" s="1"/>
  <c r="P78" i="9"/>
  <c r="Q78" i="9" s="1"/>
  <c r="R78" i="9"/>
  <c r="S78" i="9"/>
  <c r="P79" i="9"/>
  <c r="Q79" i="9" s="1"/>
  <c r="R79" i="9"/>
  <c r="S79" i="9"/>
  <c r="P80" i="9"/>
  <c r="T80" i="9" s="1"/>
  <c r="R80" i="9"/>
  <c r="S80" i="9" s="1"/>
  <c r="P81" i="9"/>
  <c r="T81" i="9" s="1"/>
  <c r="R81" i="9"/>
  <c r="S81" i="9"/>
  <c r="P82" i="9"/>
  <c r="Q82" i="9" s="1"/>
  <c r="R82" i="9"/>
  <c r="S82" i="9"/>
  <c r="P83" i="9"/>
  <c r="Q83" i="9" s="1"/>
  <c r="R83" i="9"/>
  <c r="S83" i="9" s="1"/>
  <c r="P84" i="9"/>
  <c r="T84" i="9" s="1"/>
  <c r="R84" i="9"/>
  <c r="S84" i="9" s="1"/>
  <c r="P85" i="9"/>
  <c r="T85" i="9" s="1"/>
  <c r="R85" i="9"/>
  <c r="S85" i="9" s="1"/>
  <c r="P86" i="9"/>
  <c r="Q86" i="9" s="1"/>
  <c r="R86" i="9"/>
  <c r="S86" i="9"/>
  <c r="P87" i="9"/>
  <c r="Q87" i="9" s="1"/>
  <c r="R87" i="9"/>
  <c r="S87" i="9"/>
  <c r="P88" i="9"/>
  <c r="T88" i="9" s="1"/>
  <c r="R88" i="9"/>
  <c r="S88" i="9" s="1"/>
  <c r="P89" i="9"/>
  <c r="Q89" i="9" s="1"/>
  <c r="R89" i="9"/>
  <c r="S89" i="9"/>
  <c r="P90" i="9"/>
  <c r="Q90" i="9" s="1"/>
  <c r="R90" i="9"/>
  <c r="S90" i="9"/>
  <c r="P91" i="9"/>
  <c r="T91" i="9" s="1"/>
  <c r="R91" i="9"/>
  <c r="S91" i="9" s="1"/>
  <c r="P92" i="9"/>
  <c r="Q92" i="9" s="1"/>
  <c r="R92" i="9"/>
  <c r="S92" i="9" s="1"/>
  <c r="P93" i="9"/>
  <c r="T93" i="9" s="1"/>
  <c r="R93" i="9"/>
  <c r="S93" i="9" s="1"/>
  <c r="P94" i="9"/>
  <c r="Q94" i="9" s="1"/>
  <c r="R94" i="9"/>
  <c r="S94" i="9"/>
  <c r="P95" i="9"/>
  <c r="Q95" i="9" s="1"/>
  <c r="R95" i="9"/>
  <c r="S95" i="9"/>
  <c r="P96" i="9"/>
  <c r="T96" i="9" s="1"/>
  <c r="R96" i="9"/>
  <c r="S96" i="9" s="1"/>
  <c r="P97" i="9"/>
  <c r="Q97" i="9" s="1"/>
  <c r="R97" i="9"/>
  <c r="S97" i="9"/>
  <c r="P98" i="9"/>
  <c r="T98" i="9" s="1"/>
  <c r="R98" i="9"/>
  <c r="S98" i="9"/>
  <c r="P99" i="9"/>
  <c r="Q99" i="9" s="1"/>
  <c r="R99" i="9"/>
  <c r="S99" i="9"/>
  <c r="P100" i="9"/>
  <c r="Q100" i="9" s="1"/>
  <c r="R100" i="9"/>
  <c r="S100" i="9" s="1"/>
  <c r="P101" i="9"/>
  <c r="Q101" i="9" s="1"/>
  <c r="R101" i="9"/>
  <c r="S101" i="9" s="1"/>
  <c r="P102" i="9"/>
  <c r="Q102" i="9" s="1"/>
  <c r="R102" i="9"/>
  <c r="S102" i="9"/>
  <c r="P103" i="9"/>
  <c r="Q103" i="9" s="1"/>
  <c r="R103" i="9"/>
  <c r="S103" i="9"/>
  <c r="E6" i="1"/>
  <c r="E7" i="1"/>
  <c r="E5" i="1"/>
  <c r="E8" i="1"/>
  <c r="E4" i="1"/>
  <c r="T102" i="9" l="1"/>
  <c r="Q73" i="9"/>
  <c r="Q52" i="9"/>
  <c r="T28" i="9"/>
  <c r="T63" i="9"/>
  <c r="T55" i="9"/>
  <c r="Q46" i="9"/>
  <c r="Q27" i="9"/>
  <c r="Q15" i="9"/>
  <c r="T92" i="9"/>
  <c r="T76" i="9"/>
  <c r="T99" i="9"/>
  <c r="T97" i="9"/>
  <c r="Q38" i="9"/>
  <c r="Q36" i="9"/>
  <c r="Q30" i="9"/>
  <c r="Q19" i="9"/>
  <c r="Q84" i="9"/>
  <c r="T53" i="9"/>
  <c r="T37" i="9"/>
  <c r="T83" i="9"/>
  <c r="Q91" i="9"/>
  <c r="Q51" i="9"/>
  <c r="T45" i="9"/>
  <c r="T90" i="9"/>
  <c r="T82" i="9"/>
  <c r="Q80" i="9"/>
  <c r="T60" i="9"/>
  <c r="T14" i="9"/>
  <c r="Q81" i="9"/>
  <c r="Q69" i="9"/>
  <c r="Q67" i="9"/>
  <c r="T29" i="9"/>
  <c r="Q22" i="9"/>
  <c r="Q20" i="9"/>
  <c r="T17" i="9"/>
  <c r="Q11" i="9"/>
  <c r="T89" i="9"/>
  <c r="T31" i="9"/>
  <c r="T75" i="9"/>
  <c r="T100" i="9"/>
  <c r="T68" i="9"/>
  <c r="T54" i="9"/>
  <c r="Q44" i="9"/>
  <c r="T12" i="9"/>
  <c r="Q59" i="9"/>
  <c r="Q47" i="9"/>
  <c r="Q43" i="9"/>
  <c r="Q16" i="9"/>
  <c r="T74" i="9"/>
  <c r="Q88" i="9"/>
  <c r="Q65" i="9"/>
  <c r="T39" i="9"/>
  <c r="Q35" i="9"/>
  <c r="Q9" i="9"/>
  <c r="T101" i="9"/>
  <c r="Q98" i="9"/>
  <c r="Q66" i="9"/>
  <c r="Q58" i="9"/>
  <c r="Q50" i="9"/>
  <c r="Q42" i="9"/>
  <c r="Q34" i="9"/>
  <c r="Q26" i="9"/>
  <c r="Q18" i="9"/>
  <c r="Q10" i="9"/>
  <c r="T94" i="9"/>
  <c r="Q93" i="9"/>
  <c r="T86" i="9"/>
  <c r="Q85" i="9"/>
  <c r="T78" i="9"/>
  <c r="Q77" i="9"/>
  <c r="T70" i="9"/>
  <c r="T62" i="9"/>
  <c r="Q61" i="9"/>
  <c r="Q21" i="9"/>
  <c r="Q13" i="9"/>
  <c r="T6" i="9"/>
  <c r="Q5" i="9"/>
  <c r="Q72" i="9"/>
  <c r="Q64" i="9"/>
  <c r="T57" i="9"/>
  <c r="Q56" i="9"/>
  <c r="T49" i="9"/>
  <c r="Q48" i="9"/>
  <c r="T41" i="9"/>
  <c r="Q40" i="9"/>
  <c r="T33" i="9"/>
  <c r="Q32" i="9"/>
  <c r="T25" i="9"/>
  <c r="Q24" i="9"/>
  <c r="Q8" i="9"/>
  <c r="T4" i="9"/>
  <c r="T103" i="9"/>
  <c r="T95" i="9"/>
  <c r="T87" i="9"/>
  <c r="T79" i="9"/>
  <c r="T71" i="9"/>
  <c r="T23" i="9"/>
  <c r="T7" i="9"/>
  <c r="Q96" i="9"/>
</calcChain>
</file>

<file path=xl/sharedStrings.xml><?xml version="1.0" encoding="utf-8"?>
<sst xmlns="http://schemas.openxmlformats.org/spreadsheetml/2006/main" count="559" uniqueCount="314">
  <si>
    <t>C0001</t>
  </si>
  <si>
    <t>F</t>
  </si>
  <si>
    <t>2024-10-13</t>
  </si>
  <si>
    <t>C0002</t>
  </si>
  <si>
    <t>M</t>
  </si>
  <si>
    <t>2024-06-27</t>
  </si>
  <si>
    <t>C0003</t>
  </si>
  <si>
    <t>2024-07-16</t>
  </si>
  <si>
    <t>C0004</t>
  </si>
  <si>
    <t>2025-03-21</t>
  </si>
  <si>
    <t>C0005</t>
  </si>
  <si>
    <t>2024-09-14</t>
  </si>
  <si>
    <t>C0006</t>
  </si>
  <si>
    <t>2025-05-10</t>
  </si>
  <si>
    <t>C0007</t>
  </si>
  <si>
    <t>2024-05-31</t>
  </si>
  <si>
    <t>C0008</t>
  </si>
  <si>
    <t>C0009</t>
  </si>
  <si>
    <t>2025-05-26</t>
  </si>
  <si>
    <t>C0010</t>
  </si>
  <si>
    <t>2024-08-06</t>
  </si>
  <si>
    <t>C0011</t>
  </si>
  <si>
    <t>2025-05-18</t>
  </si>
  <si>
    <t>C0012</t>
  </si>
  <si>
    <t>2024-06-19</t>
  </si>
  <si>
    <t>C0013</t>
  </si>
  <si>
    <t>2024-06-07</t>
  </si>
  <si>
    <t>C0014</t>
  </si>
  <si>
    <t>2024-09-17</t>
  </si>
  <si>
    <t>C0015</t>
  </si>
  <si>
    <t>2025-04-03</t>
  </si>
  <si>
    <t>C0016</t>
  </si>
  <si>
    <t>2024-09-25</t>
  </si>
  <si>
    <t>C0017</t>
  </si>
  <si>
    <t>2025-05-04</t>
  </si>
  <si>
    <t>C0018</t>
  </si>
  <si>
    <t>2025-05-21</t>
  </si>
  <si>
    <t>C0019</t>
  </si>
  <si>
    <t>2025-01-08</t>
  </si>
  <si>
    <t>C0020</t>
  </si>
  <si>
    <t>2024-09-03</t>
  </si>
  <si>
    <t>C0021</t>
  </si>
  <si>
    <t>2025-01-24</t>
  </si>
  <si>
    <t>C0022</t>
  </si>
  <si>
    <t>2024-06-05</t>
  </si>
  <si>
    <t>C0023</t>
  </si>
  <si>
    <t>2024-09-23</t>
  </si>
  <si>
    <t>C0024</t>
  </si>
  <si>
    <t>2024-08-23</t>
  </si>
  <si>
    <t>C0025</t>
  </si>
  <si>
    <t>2024-07-22</t>
  </si>
  <si>
    <t>C0026</t>
  </si>
  <si>
    <t>2024-12-22</t>
  </si>
  <si>
    <t>C0027</t>
  </si>
  <si>
    <t>2025-02-13</t>
  </si>
  <si>
    <t>C0028</t>
  </si>
  <si>
    <t>2024-08-09</t>
  </si>
  <si>
    <t>C0029</t>
  </si>
  <si>
    <t>2025-04-10</t>
  </si>
  <si>
    <t>C0030</t>
  </si>
  <si>
    <t>2024-12-02</t>
  </si>
  <si>
    <t>C0031</t>
  </si>
  <si>
    <t>2024-11-20</t>
  </si>
  <si>
    <t>C0032</t>
  </si>
  <si>
    <t>2025-03-11</t>
  </si>
  <si>
    <t>C0033</t>
  </si>
  <si>
    <t>2025-01-20</t>
  </si>
  <si>
    <t>C0034</t>
  </si>
  <si>
    <t>2025-03-09</t>
  </si>
  <si>
    <t>C0035</t>
  </si>
  <si>
    <t>2024-10-06</t>
  </si>
  <si>
    <t>C0036</t>
  </si>
  <si>
    <t>2024-06-28</t>
  </si>
  <si>
    <t>C0037</t>
  </si>
  <si>
    <t>2025-01-22</t>
  </si>
  <si>
    <t>C0038</t>
  </si>
  <si>
    <t>2025-03-20</t>
  </si>
  <si>
    <t>C0039</t>
  </si>
  <si>
    <t>2024-12-24</t>
  </si>
  <si>
    <t>C0040</t>
  </si>
  <si>
    <t>2025-03-28</t>
  </si>
  <si>
    <t>C0041</t>
  </si>
  <si>
    <t>2024-11-21</t>
  </si>
  <si>
    <t>C0042</t>
  </si>
  <si>
    <t>2024-11-12</t>
  </si>
  <si>
    <t>C0043</t>
  </si>
  <si>
    <t>2024-11-10</t>
  </si>
  <si>
    <t>C0044</t>
  </si>
  <si>
    <t>2024-09-27</t>
  </si>
  <si>
    <t>C0045</t>
  </si>
  <si>
    <t>C0046</t>
  </si>
  <si>
    <t>2025-04-24</t>
  </si>
  <si>
    <t>C0047</t>
  </si>
  <si>
    <t>2025-03-29</t>
  </si>
  <si>
    <t>C0048</t>
  </si>
  <si>
    <t>2025-04-28</t>
  </si>
  <si>
    <t>C0049</t>
  </si>
  <si>
    <t>2025-04-26</t>
  </si>
  <si>
    <t>C0050</t>
  </si>
  <si>
    <t>2024-07-03</t>
  </si>
  <si>
    <t>C0051</t>
  </si>
  <si>
    <t>2024-06-08</t>
  </si>
  <si>
    <t>C0052</t>
  </si>
  <si>
    <t>2024-11-16</t>
  </si>
  <si>
    <t>C0053</t>
  </si>
  <si>
    <t>C0054</t>
  </si>
  <si>
    <t>C0055</t>
  </si>
  <si>
    <t>2024-09-26</t>
  </si>
  <si>
    <t>C0056</t>
  </si>
  <si>
    <t>2024-08-27</t>
  </si>
  <si>
    <t>C0057</t>
  </si>
  <si>
    <t>2024-09-01</t>
  </si>
  <si>
    <t>C0058</t>
  </si>
  <si>
    <t>2025-04-11</t>
  </si>
  <si>
    <t>C0059</t>
  </si>
  <si>
    <t>2024-08-03</t>
  </si>
  <si>
    <t>C0060</t>
  </si>
  <si>
    <t>C0061</t>
  </si>
  <si>
    <t>C0062</t>
  </si>
  <si>
    <t>C0063</t>
  </si>
  <si>
    <t>C0064</t>
  </si>
  <si>
    <t>2024-06-14</t>
  </si>
  <si>
    <t>C0065</t>
  </si>
  <si>
    <t>2024-11-14</t>
  </si>
  <si>
    <t>C0066</t>
  </si>
  <si>
    <t>2025-03-02</t>
  </si>
  <si>
    <t>C0067</t>
  </si>
  <si>
    <t>2024-11-19</t>
  </si>
  <si>
    <t>C0068</t>
  </si>
  <si>
    <t>2025-03-10</t>
  </si>
  <si>
    <t>C0069</t>
  </si>
  <si>
    <t>2025-02-16</t>
  </si>
  <si>
    <t>C0070</t>
  </si>
  <si>
    <t>2025-01-16</t>
  </si>
  <si>
    <t>C0071</t>
  </si>
  <si>
    <t>2025-01-03</t>
  </si>
  <si>
    <t>C0072</t>
  </si>
  <si>
    <t>2024-08-10</t>
  </si>
  <si>
    <t>C0073</t>
  </si>
  <si>
    <t>2024-11-11</t>
  </si>
  <si>
    <t>C0074</t>
  </si>
  <si>
    <t>2025-02-15</t>
  </si>
  <si>
    <t>C0075</t>
  </si>
  <si>
    <t>2025-01-04</t>
  </si>
  <si>
    <t>C0076</t>
  </si>
  <si>
    <t>2024-10-24</t>
  </si>
  <si>
    <t>C0077</t>
  </si>
  <si>
    <t>2025-05-05</t>
  </si>
  <si>
    <t>C0078</t>
  </si>
  <si>
    <t>2024-09-09</t>
  </si>
  <si>
    <t>C0079</t>
  </si>
  <si>
    <t>2025-05-06</t>
  </si>
  <si>
    <t>C0080</t>
  </si>
  <si>
    <t>C0081</t>
  </si>
  <si>
    <t>2024-10-27</t>
  </si>
  <si>
    <t>C0082</t>
  </si>
  <si>
    <t>2025-04-25</t>
  </si>
  <si>
    <t>C0083</t>
  </si>
  <si>
    <t>2025-02-17</t>
  </si>
  <si>
    <t>C0084</t>
  </si>
  <si>
    <t>C0085</t>
  </si>
  <si>
    <t>2024-05-30</t>
  </si>
  <si>
    <t>C0086</t>
  </si>
  <si>
    <t>2024-09-12</t>
  </si>
  <si>
    <t>C0087</t>
  </si>
  <si>
    <t>2024-10-09</t>
  </si>
  <si>
    <t>C0088</t>
  </si>
  <si>
    <t>2025-04-23</t>
  </si>
  <si>
    <t>C0089</t>
  </si>
  <si>
    <t>2024-06-01</t>
  </si>
  <si>
    <t>C0090</t>
  </si>
  <si>
    <t>C0091</t>
  </si>
  <si>
    <t>2024-12-15</t>
  </si>
  <si>
    <t>C0092</t>
  </si>
  <si>
    <t>C0093</t>
  </si>
  <si>
    <t>C0094</t>
  </si>
  <si>
    <t>2025-02-10</t>
  </si>
  <si>
    <t>C0095</t>
  </si>
  <si>
    <t>2025-03-08</t>
  </si>
  <si>
    <t>C0096</t>
  </si>
  <si>
    <t>2024-10-05</t>
  </si>
  <si>
    <t>C0097</t>
  </si>
  <si>
    <t>2024-07-15</t>
  </si>
  <si>
    <t>C0098</t>
  </si>
  <si>
    <t>2024-07-09</t>
  </si>
  <si>
    <t>C0099</t>
  </si>
  <si>
    <t>2025-04-09</t>
  </si>
  <si>
    <t>C0100</t>
  </si>
  <si>
    <t>2024-09-19</t>
  </si>
  <si>
    <t>Totale complessivo</t>
  </si>
  <si>
    <t>Engagement_level</t>
  </si>
  <si>
    <t xml:space="preserve">Higher engagement levels correspond to higher average spending. </t>
  </si>
  <si>
    <t>High-engagement customers spend on average about 72% more than low-engagement ones.</t>
  </si>
  <si>
    <t>KEY INSIGHTS</t>
  </si>
  <si>
    <t>INTERPRETATION</t>
  </si>
  <si>
    <t xml:space="preserve">Recent customers spend less on average, while dormant customers remain digitally active but no longer purchase. </t>
  </si>
  <si>
    <t>This highlights reactivation as a key opportunity.</t>
  </si>
  <si>
    <t>Client ID</t>
  </si>
  <si>
    <t>Age</t>
  </si>
  <si>
    <t>Gender</t>
  </si>
  <si>
    <t>Total Spending (€)</t>
  </si>
  <si>
    <t>Last Purchase Date</t>
  </si>
  <si>
    <t>Email Opening</t>
  </si>
  <si>
    <t>Links Clicked</t>
  </si>
  <si>
    <t>Other Interactions</t>
  </si>
  <si>
    <t>Feedback &amp; Reviews</t>
  </si>
  <si>
    <t>Upper</t>
  </si>
  <si>
    <t>Insole</t>
  </si>
  <si>
    <t>Sole</t>
  </si>
  <si>
    <t>Lining</t>
  </si>
  <si>
    <t>Laces</t>
  </si>
  <si>
    <t>Recency (days)</t>
  </si>
  <si>
    <t>Total Components Purchased</t>
  </si>
  <si>
    <t>Engagement Level</t>
  </si>
  <si>
    <t>Engagement Index</t>
  </si>
  <si>
    <t>Recency Categories</t>
  </si>
  <si>
    <t>Excellent value for money.</t>
  </si>
  <si>
    <t>Very satisfied with the product.</t>
  </si>
  <si>
    <t>Would have preferred more color options.</t>
  </si>
  <si>
    <t>On-time delivery.</t>
  </si>
  <si>
    <t>Innovative and practical design.</t>
  </si>
  <si>
    <t>Friendly customer service.</t>
  </si>
  <si>
    <t>Elegant and functional packaging.</t>
  </si>
  <si>
    <t>Not satisfied – product arrived damaged.</t>
  </si>
  <si>
    <t>Product quality needs improvement.</t>
  </si>
  <si>
    <t>Positive purchase experience.</t>
  </si>
  <si>
    <t>Coefficient of Determination (R²)</t>
  </si>
  <si>
    <t>Pearson Correlation Coefficient (r)</t>
  </si>
  <si>
    <t>Statistical Correlation Metrics</t>
  </si>
  <si>
    <t>Customer Base – Descriptive Statistics</t>
  </si>
  <si>
    <t>Average Age</t>
  </si>
  <si>
    <t>Average Total Spending (€)</t>
  </si>
  <si>
    <t>Average Emails Opened</t>
  </si>
  <si>
    <t>Average Links Clicked</t>
  </si>
  <si>
    <t>Average Other Interactions</t>
  </si>
  <si>
    <t>No strong linear relationship was found between digital engagement (emails, clicks, or other interactions) and total spending. All Pearson correlation values are below 0.25 and R² values close to zero, indicating that online activity does not significantly explain customer spending behavior.</t>
  </si>
  <si>
    <t>Dormant</t>
  </si>
  <si>
    <t>Intermediate</t>
  </si>
  <si>
    <t>Recent</t>
  </si>
  <si>
    <t xml:space="preserve">Total Spending Avg. (€) </t>
  </si>
  <si>
    <t>Engagement Index Avg.</t>
  </si>
  <si>
    <t>High</t>
  </si>
  <si>
    <t>Low</t>
  </si>
  <si>
    <t>Medium</t>
  </si>
  <si>
    <t>Total Spending Avg. (€)</t>
  </si>
  <si>
    <t>Medium ≠ High</t>
  </si>
  <si>
    <t>Medium-engagement customers spend ~8–10% less than high; focus on nudges to move them up.</t>
  </si>
  <si>
    <t>Diminishing returns at the top</t>
  </si>
  <si>
    <t>Gain from Medium→High is modest vs. Low→Medium; prioritize lifting Low→Medium first.</t>
  </si>
  <si>
    <t>Targeting priority</t>
  </si>
  <si>
    <t>High: loyalty &amp; early access; Medium: conversion to High; Low: awareness + first-purchase incentives.</t>
  </si>
  <si>
    <t>KEY INSIGHT</t>
  </si>
  <si>
    <t>Dormant customers show residual engagement</t>
  </si>
  <si>
    <t>They open emails and click links but rarely purchase — ideal for reactivation offers.</t>
  </si>
  <si>
    <t>Recent customers have lower spending</t>
  </si>
  <si>
    <t>Likely early-stage customers still building loyalty.</t>
  </si>
  <si>
    <t>Intermediate customers are the most balanced</t>
  </si>
  <si>
    <t>Solid spending and engagement levels; ideal targets for retention programs.</t>
  </si>
  <si>
    <t>Recency Category</t>
  </si>
  <si>
    <t>Laces Sum</t>
  </si>
  <si>
    <t>Lining  Sum</t>
  </si>
  <si>
    <t>Sole  Sum</t>
  </si>
  <si>
    <t>Insole  Sum</t>
  </si>
  <si>
    <t>Upper  Sum</t>
  </si>
  <si>
    <t>Intermediate customers purchase the widest range of components, while Dormant and Recent groups show limited or single-item purchases.</t>
  </si>
  <si>
    <t>Strong brand familiarity; ideal for cross-sell and loyalty programs.</t>
  </si>
  <si>
    <t>Dormant customers show low but uniform purchases</t>
  </si>
  <si>
    <t>Possible base of repeat buyers who downgraded — reactivation offers with bundles could work.</t>
  </si>
  <si>
    <t>Recent customers buy single components only</t>
  </si>
  <si>
    <t>Entry-level buyers: focus on onboarding and first-purchase bundles.</t>
  </si>
  <si>
    <t>Intermediate customers buy full kits (e.g. Upper + Sole + Lining)</t>
  </si>
  <si>
    <t>MAIN FINDINGS</t>
  </si>
  <si>
    <t>High spenders = satisfied or design-oriented customers</t>
  </si>
  <si>
    <t>Focus retention efforts on them with premium and early-access campaigns.</t>
  </si>
  <si>
    <t>Critical customers show highest engagement</t>
  </si>
  <si>
    <r>
      <t xml:space="preserve">Treat them as </t>
    </r>
    <r>
      <rPr>
        <i/>
        <sz val="11"/>
        <color theme="1"/>
        <rFont val="Calibri"/>
        <family val="2"/>
        <charset val="1"/>
      </rPr>
      <t>loyal but demanding</t>
    </r>
    <r>
      <rPr>
        <sz val="11"/>
        <color theme="1"/>
        <rFont val="Calibri"/>
        <family val="2"/>
        <charset val="1"/>
      </rPr>
      <t xml:space="preserve"> — involve them in beta testing or surveys.</t>
    </r>
  </si>
  <si>
    <t>Low-spend but polite feedback (“on-time delivery”, “positive experience”)</t>
  </si>
  <si>
    <t>Likely transactional buyers; nurture them with loyalty points or referral offers.</t>
  </si>
  <si>
    <t>Satisfaction moderately drives spending, but engagement peaks among critical customers, indicating involvement even when expectations aren’t fully met.</t>
  </si>
  <si>
    <t>Segment</t>
  </si>
  <si>
    <t>Suggested Action</t>
  </si>
  <si>
    <t>Dormant customers</t>
  </si>
  <si>
    <t>Reactivation campaign with bundle offers or discounts on complete kits</t>
  </si>
  <si>
    <t>Re-purchase rate, reactivation rate</t>
  </si>
  <si>
    <t>Intermediate customers</t>
  </si>
  <si>
    <t>Loyalty rewards and cross-sell suggestions (e.g. sole + lining)</t>
  </si>
  <si>
    <t>Repeat purchase rate, average order value (AOV)</t>
  </si>
  <si>
    <t>Recent customers</t>
  </si>
  <si>
    <t>Welcome series with first-purchase incentives and onboarding emails</t>
  </si>
  <si>
    <t>Conversion rate, first-purchase ROI</t>
  </si>
  <si>
    <t>High-engagement customers</t>
  </si>
  <si>
    <t>Exclusive access, premium collections, referral programs</t>
  </si>
  <si>
    <t>Retention rate, referral conversion</t>
  </si>
  <si>
    <t>Low-engagement customers</t>
  </si>
  <si>
    <t>Awareness campaigns via social and remarketing</t>
  </si>
  <si>
    <t>CTR (click-through rate), engagement uplift</t>
  </si>
  <si>
    <t>Critical feedback customers</t>
  </si>
  <si>
    <t>Personalised service follow-ups, survey participation</t>
  </si>
  <si>
    <t>Response rate, satisfaction score</t>
  </si>
  <si>
    <t>Executive Summary</t>
  </si>
  <si>
    <t>KPIs</t>
  </si>
  <si>
    <t>Median Total Spending (€)</t>
  </si>
  <si>
    <t>Standard Deviation – Total Spending (€)</t>
  </si>
  <si>
    <t>Coefficient of Variation – Total Spending (€)</t>
  </si>
  <si>
    <t>Client ID Sum</t>
  </si>
  <si>
    <t>The gender gap in spending suggests that women are more receptive to SmartShoe’s premium or design-oriented products. Future campaigns could tailor messaging or bundle offers around these preferences.</t>
  </si>
  <si>
    <t>Total</t>
  </si>
  <si>
    <t>Female outspend male customers by nearly 30%, despite representing a slightly smaller share of the customer base.</t>
  </si>
  <si>
    <t>The dataset shows a wide dispersion in spending (CV ≈ 56%), indicating highly diverse customer behaviors.</t>
  </si>
  <si>
    <t>SmartShoe’s customer base consists mainly of mid-aged adults with varying spending power, justifying the need for segmentation by recency and engagement.</t>
  </si>
  <si>
    <t>Female high-value customers</t>
  </si>
  <si>
    <t>Promote premium or design-focused products through tailored campaigns and storytelling</t>
  </si>
  <si>
    <t>Average order value (AOV), conversion rate</t>
  </si>
  <si>
    <t>This analysis identified clear behavioral patterns across customer segments: recency strongly affects spending, engagement drives loyalty, and product preferences highlight cross-sell opportunities. In addition, descriptive insights reveal high variability in spending and a gender-based difference favoring female customers, suggesting differentiated messaging and premium positioning opportunities. These findings translate into targeted marketing strategies aimed at increasing retention, reactivation, and overall ROI.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</si>
</sst>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 Unicode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theme="1" tint="4.9989318521683403E-2"/>
      <name val="Calibri"/>
      <family val="2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5B1A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3" fillId="0" borderId="0" xfId="0" applyFont="1"/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5" fillId="0" borderId="0" xfId="0" applyFont="1"/>
    <xf numFmtId="1" fontId="0" fillId="3" borderId="2" xfId="0" applyNumberFormat="1" applyFill="1" applyBorder="1" applyAlignment="1">
      <alignment horizontal="right"/>
    </xf>
    <xf numFmtId="49" fontId="0" fillId="3" borderId="2" xfId="0" applyNumberFormat="1" applyFill="1" applyBorder="1" applyAlignment="1">
      <alignment horizontal="right"/>
    </xf>
    <xf numFmtId="2" fontId="0" fillId="3" borderId="2" xfId="0" applyNumberFormat="1" applyFill="1" applyBorder="1" applyAlignment="1">
      <alignment horizontal="right"/>
    </xf>
    <xf numFmtId="14" fontId="0" fillId="3" borderId="2" xfId="0" applyNumberFormat="1" applyFill="1" applyBorder="1" applyAlignment="1">
      <alignment horizontal="right"/>
    </xf>
    <xf numFmtId="1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4" fontId="0" fillId="0" borderId="2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1" fillId="2" borderId="3" xfId="0" applyFont="1" applyFill="1" applyBorder="1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pivotButton="1" applyAlignment="1">
      <alignment horizontal="left"/>
    </xf>
    <xf numFmtId="0" fontId="0" fillId="0" borderId="3" xfId="0" applyBorder="1"/>
    <xf numFmtId="0" fontId="3" fillId="0" borderId="3" xfId="0" applyFont="1" applyBorder="1"/>
    <xf numFmtId="0" fontId="0" fillId="3" borderId="0" xfId="0" applyFill="1" applyAlignment="1">
      <alignment horizontal="right"/>
    </xf>
    <xf numFmtId="1" fontId="0" fillId="3" borderId="0" xfId="0" applyNumberFormat="1" applyFill="1" applyAlignment="1">
      <alignment horizontal="right"/>
    </xf>
    <xf numFmtId="49" fontId="0" fillId="3" borderId="0" xfId="0" applyNumberFormat="1" applyFill="1" applyAlignment="1">
      <alignment horizontal="right"/>
    </xf>
    <xf numFmtId="2" fontId="0" fillId="3" borderId="0" xfId="0" applyNumberFormat="1" applyFill="1" applyAlignment="1">
      <alignment horizontal="right"/>
    </xf>
    <xf numFmtId="14" fontId="0" fillId="3" borderId="0" xfId="0" applyNumberFormat="1" applyFill="1" applyAlignment="1">
      <alignment horizontal="right"/>
    </xf>
    <xf numFmtId="0" fontId="7" fillId="6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3" fillId="5" borderId="3" xfId="0" applyFont="1" applyFill="1" applyBorder="1"/>
    <xf numFmtId="0" fontId="3" fillId="4" borderId="3" xfId="0" applyFont="1" applyFill="1" applyBorder="1"/>
    <xf numFmtId="0" fontId="4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3" fillId="7" borderId="3" xfId="0" applyFont="1" applyFill="1" applyBorder="1"/>
    <xf numFmtId="0" fontId="3" fillId="8" borderId="3" xfId="0" applyFont="1" applyFill="1" applyBorder="1"/>
    <xf numFmtId="0" fontId="3" fillId="9" borderId="3" xfId="0" applyFont="1" applyFill="1" applyBorder="1"/>
    <xf numFmtId="9" fontId="0" fillId="0" borderId="0" xfId="1" applyFont="1"/>
    <xf numFmtId="0" fontId="1" fillId="8" borderId="3" xfId="0" applyFont="1" applyFill="1" applyBorder="1"/>
    <xf numFmtId="0" fontId="3" fillId="10" borderId="3" xfId="0" applyFont="1" applyFill="1" applyBorder="1"/>
    <xf numFmtId="0" fontId="1" fillId="10" borderId="3" xfId="0" applyFont="1" applyFill="1" applyBorder="1"/>
    <xf numFmtId="0" fontId="3" fillId="0" borderId="9" xfId="0" applyFont="1" applyBorder="1"/>
    <xf numFmtId="0" fontId="0" fillId="0" borderId="9" xfId="0" applyBorder="1"/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3" fillId="2" borderId="1" xfId="0" applyFont="1" applyFill="1" applyBorder="1"/>
    <xf numFmtId="0" fontId="3" fillId="0" borderId="8" xfId="0" applyFont="1" applyBorder="1"/>
    <xf numFmtId="0" fontId="3" fillId="0" borderId="0" xfId="0" applyFont="1"/>
    <xf numFmtId="0" fontId="4" fillId="0" borderId="0" xfId="0" applyFont="1" applyAlignment="1">
      <alignment wrapText="1"/>
    </xf>
    <xf numFmtId="0" fontId="1" fillId="8" borderId="3" xfId="0" applyFont="1" applyFill="1" applyBorder="1"/>
    <xf numFmtId="0" fontId="0" fillId="0" borderId="0" xfId="0"/>
    <xf numFmtId="0" fontId="3" fillId="8" borderId="4" xfId="0" applyFont="1" applyFill="1" applyBorder="1"/>
    <xf numFmtId="0" fontId="3" fillId="8" borderId="5" xfId="0" applyFont="1" applyFill="1" applyBorder="1"/>
    <xf numFmtId="0" fontId="3" fillId="10" borderId="4" xfId="0" applyFont="1" applyFill="1" applyBorder="1"/>
    <xf numFmtId="0" fontId="3" fillId="10" borderId="5" xfId="0" applyFont="1" applyFill="1" applyBorder="1"/>
    <xf numFmtId="0" fontId="1" fillId="2" borderId="3" xfId="0" applyFont="1" applyFill="1" applyBorder="1"/>
    <xf numFmtId="0" fontId="3" fillId="8" borderId="6" xfId="0" applyFont="1" applyFill="1" applyBorder="1"/>
    <xf numFmtId="0" fontId="3" fillId="10" borderId="6" xfId="0" applyFont="1" applyFill="1" applyBorder="1"/>
    <xf numFmtId="0" fontId="0" fillId="0" borderId="7" xfId="0" applyBorder="1"/>
    <xf numFmtId="0" fontId="0" fillId="0" borderId="0" xfId="0" applyAlignment="1">
      <alignment horizontal="left" wrapText="1"/>
    </xf>
  </cellXfs>
  <cellStyles count="2">
    <cellStyle name="Normale" xfId="0" builtinId="0"/>
    <cellStyle name="Percentuale" xfId="1" builtinId="5"/>
  </cellStyles>
  <dxfs count="31">
    <dxf>
      <alignment horizontal="right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0" formatCode="@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9" formatCode="dd/mm/yy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0" formatCode="@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5B1A6"/>
      <color rgb="FFDE757E"/>
      <color rgb="FFFE5763"/>
      <color rgb="FFFFFBAF"/>
      <color rgb="FFEE7F85"/>
      <color rgb="FFE99275"/>
      <color rgb="FFFDCE55"/>
      <color rgb="FFE6B8B7"/>
      <color rgb="FF9FE45A"/>
      <color rgb="FF4A7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 b="1" i="0" u="none" strike="noStrike" baseline="0"/>
              <a:t>Total Spending vs. Links Clicked</a:t>
            </a:r>
            <a:endParaRPr lang="it-IT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'00_Dataset'!$E$4:$E$103</c:f>
              <c:numCache>
                <c:formatCode>0.00</c:formatCode>
                <c:ptCount val="100"/>
                <c:pt idx="0">
                  <c:v>1470.86</c:v>
                </c:pt>
                <c:pt idx="1">
                  <c:v>1467.85</c:v>
                </c:pt>
                <c:pt idx="2">
                  <c:v>1437.37</c:v>
                </c:pt>
                <c:pt idx="3">
                  <c:v>1408.34</c:v>
                </c:pt>
                <c:pt idx="4">
                  <c:v>1375.18</c:v>
                </c:pt>
                <c:pt idx="5">
                  <c:v>1367.4</c:v>
                </c:pt>
                <c:pt idx="6">
                  <c:v>1358.22</c:v>
                </c:pt>
                <c:pt idx="7">
                  <c:v>1352.79</c:v>
                </c:pt>
                <c:pt idx="8">
                  <c:v>1346.45</c:v>
                </c:pt>
                <c:pt idx="9">
                  <c:v>1311.22</c:v>
                </c:pt>
                <c:pt idx="10">
                  <c:v>1306.1199999999999</c:v>
                </c:pt>
                <c:pt idx="11">
                  <c:v>1289.6099999999999</c:v>
                </c:pt>
                <c:pt idx="12">
                  <c:v>1283.6199999999999</c:v>
                </c:pt>
                <c:pt idx="13">
                  <c:v>1252.49</c:v>
                </c:pt>
                <c:pt idx="14">
                  <c:v>1239.69</c:v>
                </c:pt>
                <c:pt idx="15">
                  <c:v>1225.58</c:v>
                </c:pt>
                <c:pt idx="16">
                  <c:v>1170.9000000000001</c:v>
                </c:pt>
                <c:pt idx="17">
                  <c:v>1169.96</c:v>
                </c:pt>
                <c:pt idx="18">
                  <c:v>1148.18</c:v>
                </c:pt>
                <c:pt idx="19">
                  <c:v>1120.81</c:v>
                </c:pt>
                <c:pt idx="20">
                  <c:v>1105.25</c:v>
                </c:pt>
                <c:pt idx="21">
                  <c:v>1085.8699999999999</c:v>
                </c:pt>
                <c:pt idx="22">
                  <c:v>1082.95</c:v>
                </c:pt>
                <c:pt idx="23">
                  <c:v>1077.92</c:v>
                </c:pt>
                <c:pt idx="24">
                  <c:v>1061.6199999999999</c:v>
                </c:pt>
                <c:pt idx="25">
                  <c:v>1051.95</c:v>
                </c:pt>
                <c:pt idx="26">
                  <c:v>1050.44</c:v>
                </c:pt>
                <c:pt idx="27">
                  <c:v>1047.8</c:v>
                </c:pt>
                <c:pt idx="28">
                  <c:v>1014.87</c:v>
                </c:pt>
                <c:pt idx="29">
                  <c:v>1007.12</c:v>
                </c:pt>
                <c:pt idx="30">
                  <c:v>986.22</c:v>
                </c:pt>
                <c:pt idx="31">
                  <c:v>983.3</c:v>
                </c:pt>
                <c:pt idx="32">
                  <c:v>976.22</c:v>
                </c:pt>
                <c:pt idx="33">
                  <c:v>910.4</c:v>
                </c:pt>
                <c:pt idx="34">
                  <c:v>909.23</c:v>
                </c:pt>
                <c:pt idx="35">
                  <c:v>906.72</c:v>
                </c:pt>
                <c:pt idx="36">
                  <c:v>905.93</c:v>
                </c:pt>
                <c:pt idx="37">
                  <c:v>876.59</c:v>
                </c:pt>
                <c:pt idx="38">
                  <c:v>831.6</c:v>
                </c:pt>
                <c:pt idx="39">
                  <c:v>818.55</c:v>
                </c:pt>
                <c:pt idx="40">
                  <c:v>813.98</c:v>
                </c:pt>
                <c:pt idx="41">
                  <c:v>811.02</c:v>
                </c:pt>
                <c:pt idx="42">
                  <c:v>791.1</c:v>
                </c:pt>
                <c:pt idx="43">
                  <c:v>780.69</c:v>
                </c:pt>
                <c:pt idx="44">
                  <c:v>770.79</c:v>
                </c:pt>
                <c:pt idx="45">
                  <c:v>762.98</c:v>
                </c:pt>
                <c:pt idx="46">
                  <c:v>733.14</c:v>
                </c:pt>
                <c:pt idx="47">
                  <c:v>720</c:v>
                </c:pt>
                <c:pt idx="48">
                  <c:v>719.18</c:v>
                </c:pt>
                <c:pt idx="49">
                  <c:v>684.76</c:v>
                </c:pt>
                <c:pt idx="50">
                  <c:v>670.79</c:v>
                </c:pt>
                <c:pt idx="51">
                  <c:v>661.88</c:v>
                </c:pt>
                <c:pt idx="52">
                  <c:v>656.16</c:v>
                </c:pt>
                <c:pt idx="53">
                  <c:v>654.67999999999995</c:v>
                </c:pt>
                <c:pt idx="54">
                  <c:v>652.51</c:v>
                </c:pt>
                <c:pt idx="55">
                  <c:v>646.54999999999995</c:v>
                </c:pt>
                <c:pt idx="56">
                  <c:v>629.48</c:v>
                </c:pt>
                <c:pt idx="57">
                  <c:v>628.12</c:v>
                </c:pt>
                <c:pt idx="58">
                  <c:v>626.82000000000005</c:v>
                </c:pt>
                <c:pt idx="59">
                  <c:v>624.96</c:v>
                </c:pt>
                <c:pt idx="60">
                  <c:v>614.02</c:v>
                </c:pt>
                <c:pt idx="61">
                  <c:v>599.74</c:v>
                </c:pt>
                <c:pt idx="62">
                  <c:v>595.16</c:v>
                </c:pt>
                <c:pt idx="63">
                  <c:v>558.63</c:v>
                </c:pt>
                <c:pt idx="64">
                  <c:v>539.24</c:v>
                </c:pt>
                <c:pt idx="65">
                  <c:v>497.99</c:v>
                </c:pt>
                <c:pt idx="66">
                  <c:v>486.37</c:v>
                </c:pt>
                <c:pt idx="67">
                  <c:v>479.36</c:v>
                </c:pt>
                <c:pt idx="68">
                  <c:v>475.34</c:v>
                </c:pt>
                <c:pt idx="69">
                  <c:v>449.87</c:v>
                </c:pt>
                <c:pt idx="70">
                  <c:v>428.25</c:v>
                </c:pt>
                <c:pt idx="71">
                  <c:v>415.83</c:v>
                </c:pt>
                <c:pt idx="72">
                  <c:v>411.46</c:v>
                </c:pt>
                <c:pt idx="73">
                  <c:v>408.58</c:v>
                </c:pt>
                <c:pt idx="74">
                  <c:v>372.76</c:v>
                </c:pt>
                <c:pt idx="75">
                  <c:v>371.86</c:v>
                </c:pt>
                <c:pt idx="76">
                  <c:v>371.61</c:v>
                </c:pt>
                <c:pt idx="77">
                  <c:v>370.57</c:v>
                </c:pt>
                <c:pt idx="78">
                  <c:v>328.33</c:v>
                </c:pt>
                <c:pt idx="79">
                  <c:v>324.75</c:v>
                </c:pt>
                <c:pt idx="80">
                  <c:v>291.36</c:v>
                </c:pt>
                <c:pt idx="81">
                  <c:v>269.94</c:v>
                </c:pt>
                <c:pt idx="82">
                  <c:v>261.52</c:v>
                </c:pt>
                <c:pt idx="83">
                  <c:v>258.17</c:v>
                </c:pt>
                <c:pt idx="84">
                  <c:v>246.25</c:v>
                </c:pt>
                <c:pt idx="85">
                  <c:v>243.23</c:v>
                </c:pt>
                <c:pt idx="86">
                  <c:v>239.86</c:v>
                </c:pt>
                <c:pt idx="87">
                  <c:v>231.17</c:v>
                </c:pt>
                <c:pt idx="88">
                  <c:v>213.54</c:v>
                </c:pt>
                <c:pt idx="89">
                  <c:v>210.26</c:v>
                </c:pt>
                <c:pt idx="90">
                  <c:v>208.49</c:v>
                </c:pt>
                <c:pt idx="91">
                  <c:v>182.68</c:v>
                </c:pt>
                <c:pt idx="92">
                  <c:v>139.59</c:v>
                </c:pt>
                <c:pt idx="93">
                  <c:v>101.36</c:v>
                </c:pt>
                <c:pt idx="94">
                  <c:v>99.35</c:v>
                </c:pt>
                <c:pt idx="95">
                  <c:v>95.14</c:v>
                </c:pt>
                <c:pt idx="96">
                  <c:v>83.78</c:v>
                </c:pt>
                <c:pt idx="97">
                  <c:v>82.13</c:v>
                </c:pt>
                <c:pt idx="98">
                  <c:v>78.19</c:v>
                </c:pt>
                <c:pt idx="99">
                  <c:v>50.34</c:v>
                </c:pt>
              </c:numCache>
            </c:numRef>
          </c:xVal>
          <c:yVal>
            <c:numRef>
              <c:f>'00_Dataset'!$H$4:$H$103</c:f>
              <c:numCache>
                <c:formatCode>0</c:formatCode>
                <c:ptCount val="100"/>
                <c:pt idx="0">
                  <c:v>90</c:v>
                </c:pt>
                <c:pt idx="1">
                  <c:v>100</c:v>
                </c:pt>
                <c:pt idx="2">
                  <c:v>89</c:v>
                </c:pt>
                <c:pt idx="3">
                  <c:v>7</c:v>
                </c:pt>
                <c:pt idx="4">
                  <c:v>68</c:v>
                </c:pt>
                <c:pt idx="5">
                  <c:v>89</c:v>
                </c:pt>
                <c:pt idx="6">
                  <c:v>45</c:v>
                </c:pt>
                <c:pt idx="7">
                  <c:v>97</c:v>
                </c:pt>
                <c:pt idx="8">
                  <c:v>2</c:v>
                </c:pt>
                <c:pt idx="9">
                  <c:v>73</c:v>
                </c:pt>
                <c:pt idx="10">
                  <c:v>67</c:v>
                </c:pt>
                <c:pt idx="11">
                  <c:v>46</c:v>
                </c:pt>
                <c:pt idx="12">
                  <c:v>57</c:v>
                </c:pt>
                <c:pt idx="13">
                  <c:v>35</c:v>
                </c:pt>
                <c:pt idx="14">
                  <c:v>51</c:v>
                </c:pt>
                <c:pt idx="15">
                  <c:v>29</c:v>
                </c:pt>
                <c:pt idx="16">
                  <c:v>29</c:v>
                </c:pt>
                <c:pt idx="17">
                  <c:v>67</c:v>
                </c:pt>
                <c:pt idx="18">
                  <c:v>48</c:v>
                </c:pt>
                <c:pt idx="19">
                  <c:v>28</c:v>
                </c:pt>
                <c:pt idx="20">
                  <c:v>34</c:v>
                </c:pt>
                <c:pt idx="21">
                  <c:v>15</c:v>
                </c:pt>
                <c:pt idx="22">
                  <c:v>73</c:v>
                </c:pt>
                <c:pt idx="23">
                  <c:v>88</c:v>
                </c:pt>
                <c:pt idx="24">
                  <c:v>29</c:v>
                </c:pt>
                <c:pt idx="25">
                  <c:v>79</c:v>
                </c:pt>
                <c:pt idx="26">
                  <c:v>67</c:v>
                </c:pt>
                <c:pt idx="27">
                  <c:v>54</c:v>
                </c:pt>
                <c:pt idx="28">
                  <c:v>39</c:v>
                </c:pt>
                <c:pt idx="29">
                  <c:v>38</c:v>
                </c:pt>
                <c:pt idx="30">
                  <c:v>29</c:v>
                </c:pt>
                <c:pt idx="31">
                  <c:v>26</c:v>
                </c:pt>
                <c:pt idx="32">
                  <c:v>77</c:v>
                </c:pt>
                <c:pt idx="33">
                  <c:v>89</c:v>
                </c:pt>
                <c:pt idx="34">
                  <c:v>13</c:v>
                </c:pt>
                <c:pt idx="35">
                  <c:v>69</c:v>
                </c:pt>
                <c:pt idx="36">
                  <c:v>2</c:v>
                </c:pt>
                <c:pt idx="37">
                  <c:v>95</c:v>
                </c:pt>
                <c:pt idx="38">
                  <c:v>52</c:v>
                </c:pt>
                <c:pt idx="39">
                  <c:v>93</c:v>
                </c:pt>
                <c:pt idx="40">
                  <c:v>16</c:v>
                </c:pt>
                <c:pt idx="41">
                  <c:v>2</c:v>
                </c:pt>
                <c:pt idx="42">
                  <c:v>46</c:v>
                </c:pt>
                <c:pt idx="43">
                  <c:v>26</c:v>
                </c:pt>
                <c:pt idx="44">
                  <c:v>90</c:v>
                </c:pt>
                <c:pt idx="45">
                  <c:v>92</c:v>
                </c:pt>
                <c:pt idx="46">
                  <c:v>20</c:v>
                </c:pt>
                <c:pt idx="47">
                  <c:v>48</c:v>
                </c:pt>
                <c:pt idx="48">
                  <c:v>26</c:v>
                </c:pt>
                <c:pt idx="49">
                  <c:v>63</c:v>
                </c:pt>
                <c:pt idx="50">
                  <c:v>15</c:v>
                </c:pt>
                <c:pt idx="51">
                  <c:v>93</c:v>
                </c:pt>
                <c:pt idx="52">
                  <c:v>14</c:v>
                </c:pt>
                <c:pt idx="53">
                  <c:v>56</c:v>
                </c:pt>
                <c:pt idx="54">
                  <c:v>82</c:v>
                </c:pt>
                <c:pt idx="55">
                  <c:v>92</c:v>
                </c:pt>
                <c:pt idx="56">
                  <c:v>60</c:v>
                </c:pt>
                <c:pt idx="57">
                  <c:v>37</c:v>
                </c:pt>
                <c:pt idx="58">
                  <c:v>46</c:v>
                </c:pt>
                <c:pt idx="59">
                  <c:v>36</c:v>
                </c:pt>
                <c:pt idx="60">
                  <c:v>57</c:v>
                </c:pt>
                <c:pt idx="61">
                  <c:v>10</c:v>
                </c:pt>
                <c:pt idx="62">
                  <c:v>69</c:v>
                </c:pt>
                <c:pt idx="63">
                  <c:v>69</c:v>
                </c:pt>
                <c:pt idx="64">
                  <c:v>71</c:v>
                </c:pt>
                <c:pt idx="65">
                  <c:v>67</c:v>
                </c:pt>
                <c:pt idx="66">
                  <c:v>6</c:v>
                </c:pt>
                <c:pt idx="67">
                  <c:v>17</c:v>
                </c:pt>
                <c:pt idx="68">
                  <c:v>28</c:v>
                </c:pt>
                <c:pt idx="69">
                  <c:v>85</c:v>
                </c:pt>
                <c:pt idx="70">
                  <c:v>4</c:v>
                </c:pt>
                <c:pt idx="71">
                  <c:v>62</c:v>
                </c:pt>
                <c:pt idx="72">
                  <c:v>41</c:v>
                </c:pt>
                <c:pt idx="73">
                  <c:v>51</c:v>
                </c:pt>
                <c:pt idx="74">
                  <c:v>4</c:v>
                </c:pt>
                <c:pt idx="75">
                  <c:v>53</c:v>
                </c:pt>
                <c:pt idx="76">
                  <c:v>53</c:v>
                </c:pt>
                <c:pt idx="77">
                  <c:v>12</c:v>
                </c:pt>
                <c:pt idx="78">
                  <c:v>41</c:v>
                </c:pt>
                <c:pt idx="79">
                  <c:v>37</c:v>
                </c:pt>
                <c:pt idx="80">
                  <c:v>20</c:v>
                </c:pt>
                <c:pt idx="81">
                  <c:v>89</c:v>
                </c:pt>
                <c:pt idx="82">
                  <c:v>3</c:v>
                </c:pt>
                <c:pt idx="83">
                  <c:v>45</c:v>
                </c:pt>
                <c:pt idx="84">
                  <c:v>85</c:v>
                </c:pt>
                <c:pt idx="85">
                  <c:v>34</c:v>
                </c:pt>
                <c:pt idx="86">
                  <c:v>43</c:v>
                </c:pt>
                <c:pt idx="87">
                  <c:v>20</c:v>
                </c:pt>
                <c:pt idx="88">
                  <c:v>14</c:v>
                </c:pt>
                <c:pt idx="89">
                  <c:v>5</c:v>
                </c:pt>
                <c:pt idx="90">
                  <c:v>33</c:v>
                </c:pt>
                <c:pt idx="91">
                  <c:v>22</c:v>
                </c:pt>
                <c:pt idx="92">
                  <c:v>17</c:v>
                </c:pt>
                <c:pt idx="93">
                  <c:v>6</c:v>
                </c:pt>
                <c:pt idx="94">
                  <c:v>79</c:v>
                </c:pt>
                <c:pt idx="95">
                  <c:v>28</c:v>
                </c:pt>
                <c:pt idx="96">
                  <c:v>47</c:v>
                </c:pt>
                <c:pt idx="97">
                  <c:v>66</c:v>
                </c:pt>
                <c:pt idx="98">
                  <c:v>56</c:v>
                </c:pt>
                <c:pt idx="99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0-3A41-84E6-28E206C56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914367"/>
        <c:axId val="1121916159"/>
      </c:scatterChart>
      <c:valAx>
        <c:axId val="112191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5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916159"/>
        <c:crosses val="autoZero"/>
        <c:crossBetween val="midCat"/>
      </c:valAx>
      <c:valAx>
        <c:axId val="11219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500" b="1"/>
                  <a:t>Link Clicked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91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 b="1"/>
              <a:t>Total Spending vs. Emails Opened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A7AB4"/>
              </a:solidFill>
              <a:ln w="9525">
                <a:solidFill>
                  <a:srgbClr val="4A7AB4"/>
                </a:solidFill>
              </a:ln>
              <a:effectLst/>
            </c:spPr>
          </c:marker>
          <c:xVal>
            <c:numRef>
              <c:f>'00_Dataset'!$E$4:$E$103</c:f>
              <c:numCache>
                <c:formatCode>0.00</c:formatCode>
                <c:ptCount val="100"/>
                <c:pt idx="0">
                  <c:v>1470.86</c:v>
                </c:pt>
                <c:pt idx="1">
                  <c:v>1467.85</c:v>
                </c:pt>
                <c:pt idx="2">
                  <c:v>1437.37</c:v>
                </c:pt>
                <c:pt idx="3">
                  <c:v>1408.34</c:v>
                </c:pt>
                <c:pt idx="4">
                  <c:v>1375.18</c:v>
                </c:pt>
                <c:pt idx="5">
                  <c:v>1367.4</c:v>
                </c:pt>
                <c:pt idx="6">
                  <c:v>1358.22</c:v>
                </c:pt>
                <c:pt idx="7">
                  <c:v>1352.79</c:v>
                </c:pt>
                <c:pt idx="8">
                  <c:v>1346.45</c:v>
                </c:pt>
                <c:pt idx="9">
                  <c:v>1311.22</c:v>
                </c:pt>
                <c:pt idx="10">
                  <c:v>1306.1199999999999</c:v>
                </c:pt>
                <c:pt idx="11">
                  <c:v>1289.6099999999999</c:v>
                </c:pt>
                <c:pt idx="12">
                  <c:v>1283.6199999999999</c:v>
                </c:pt>
                <c:pt idx="13">
                  <c:v>1252.49</c:v>
                </c:pt>
                <c:pt idx="14">
                  <c:v>1239.69</c:v>
                </c:pt>
                <c:pt idx="15">
                  <c:v>1225.58</c:v>
                </c:pt>
                <c:pt idx="16">
                  <c:v>1170.9000000000001</c:v>
                </c:pt>
                <c:pt idx="17">
                  <c:v>1169.96</c:v>
                </c:pt>
                <c:pt idx="18">
                  <c:v>1148.18</c:v>
                </c:pt>
                <c:pt idx="19">
                  <c:v>1120.81</c:v>
                </c:pt>
                <c:pt idx="20">
                  <c:v>1105.25</c:v>
                </c:pt>
                <c:pt idx="21">
                  <c:v>1085.8699999999999</c:v>
                </c:pt>
                <c:pt idx="22">
                  <c:v>1082.95</c:v>
                </c:pt>
                <c:pt idx="23">
                  <c:v>1077.92</c:v>
                </c:pt>
                <c:pt idx="24">
                  <c:v>1061.6199999999999</c:v>
                </c:pt>
                <c:pt idx="25">
                  <c:v>1051.95</c:v>
                </c:pt>
                <c:pt idx="26">
                  <c:v>1050.44</c:v>
                </c:pt>
                <c:pt idx="27">
                  <c:v>1047.8</c:v>
                </c:pt>
                <c:pt idx="28">
                  <c:v>1014.87</c:v>
                </c:pt>
                <c:pt idx="29">
                  <c:v>1007.12</c:v>
                </c:pt>
                <c:pt idx="30">
                  <c:v>986.22</c:v>
                </c:pt>
                <c:pt idx="31">
                  <c:v>983.3</c:v>
                </c:pt>
                <c:pt idx="32">
                  <c:v>976.22</c:v>
                </c:pt>
                <c:pt idx="33">
                  <c:v>910.4</c:v>
                </c:pt>
                <c:pt idx="34">
                  <c:v>909.23</c:v>
                </c:pt>
                <c:pt idx="35">
                  <c:v>906.72</c:v>
                </c:pt>
                <c:pt idx="36">
                  <c:v>905.93</c:v>
                </c:pt>
                <c:pt idx="37">
                  <c:v>876.59</c:v>
                </c:pt>
                <c:pt idx="38">
                  <c:v>831.6</c:v>
                </c:pt>
                <c:pt idx="39">
                  <c:v>818.55</c:v>
                </c:pt>
                <c:pt idx="40">
                  <c:v>813.98</c:v>
                </c:pt>
                <c:pt idx="41">
                  <c:v>811.02</c:v>
                </c:pt>
                <c:pt idx="42">
                  <c:v>791.1</c:v>
                </c:pt>
                <c:pt idx="43">
                  <c:v>780.69</c:v>
                </c:pt>
                <c:pt idx="44">
                  <c:v>770.79</c:v>
                </c:pt>
                <c:pt idx="45">
                  <c:v>762.98</c:v>
                </c:pt>
                <c:pt idx="46">
                  <c:v>733.14</c:v>
                </c:pt>
                <c:pt idx="47">
                  <c:v>720</c:v>
                </c:pt>
                <c:pt idx="48">
                  <c:v>719.18</c:v>
                </c:pt>
                <c:pt idx="49">
                  <c:v>684.76</c:v>
                </c:pt>
                <c:pt idx="50">
                  <c:v>670.79</c:v>
                </c:pt>
                <c:pt idx="51">
                  <c:v>661.88</c:v>
                </c:pt>
                <c:pt idx="52">
                  <c:v>656.16</c:v>
                </c:pt>
                <c:pt idx="53">
                  <c:v>654.67999999999995</c:v>
                </c:pt>
                <c:pt idx="54">
                  <c:v>652.51</c:v>
                </c:pt>
                <c:pt idx="55">
                  <c:v>646.54999999999995</c:v>
                </c:pt>
                <c:pt idx="56">
                  <c:v>629.48</c:v>
                </c:pt>
                <c:pt idx="57">
                  <c:v>628.12</c:v>
                </c:pt>
                <c:pt idx="58">
                  <c:v>626.82000000000005</c:v>
                </c:pt>
                <c:pt idx="59">
                  <c:v>624.96</c:v>
                </c:pt>
                <c:pt idx="60">
                  <c:v>614.02</c:v>
                </c:pt>
                <c:pt idx="61">
                  <c:v>599.74</c:v>
                </c:pt>
                <c:pt idx="62">
                  <c:v>595.16</c:v>
                </c:pt>
                <c:pt idx="63">
                  <c:v>558.63</c:v>
                </c:pt>
                <c:pt idx="64">
                  <c:v>539.24</c:v>
                </c:pt>
                <c:pt idx="65">
                  <c:v>497.99</c:v>
                </c:pt>
                <c:pt idx="66">
                  <c:v>486.37</c:v>
                </c:pt>
                <c:pt idx="67">
                  <c:v>479.36</c:v>
                </c:pt>
                <c:pt idx="68">
                  <c:v>475.34</c:v>
                </c:pt>
                <c:pt idx="69">
                  <c:v>449.87</c:v>
                </c:pt>
                <c:pt idx="70">
                  <c:v>428.25</c:v>
                </c:pt>
                <c:pt idx="71">
                  <c:v>415.83</c:v>
                </c:pt>
                <c:pt idx="72">
                  <c:v>411.46</c:v>
                </c:pt>
                <c:pt idx="73">
                  <c:v>408.58</c:v>
                </c:pt>
                <c:pt idx="74">
                  <c:v>372.76</c:v>
                </c:pt>
                <c:pt idx="75">
                  <c:v>371.86</c:v>
                </c:pt>
                <c:pt idx="76">
                  <c:v>371.61</c:v>
                </c:pt>
                <c:pt idx="77">
                  <c:v>370.57</c:v>
                </c:pt>
                <c:pt idx="78">
                  <c:v>328.33</c:v>
                </c:pt>
                <c:pt idx="79">
                  <c:v>324.75</c:v>
                </c:pt>
                <c:pt idx="80">
                  <c:v>291.36</c:v>
                </c:pt>
                <c:pt idx="81">
                  <c:v>269.94</c:v>
                </c:pt>
                <c:pt idx="82">
                  <c:v>261.52</c:v>
                </c:pt>
                <c:pt idx="83">
                  <c:v>258.17</c:v>
                </c:pt>
                <c:pt idx="84">
                  <c:v>246.25</c:v>
                </c:pt>
                <c:pt idx="85">
                  <c:v>243.23</c:v>
                </c:pt>
                <c:pt idx="86">
                  <c:v>239.86</c:v>
                </c:pt>
                <c:pt idx="87">
                  <c:v>231.17</c:v>
                </c:pt>
                <c:pt idx="88">
                  <c:v>213.54</c:v>
                </c:pt>
                <c:pt idx="89">
                  <c:v>210.26</c:v>
                </c:pt>
                <c:pt idx="90">
                  <c:v>208.49</c:v>
                </c:pt>
                <c:pt idx="91">
                  <c:v>182.68</c:v>
                </c:pt>
                <c:pt idx="92">
                  <c:v>139.59</c:v>
                </c:pt>
                <c:pt idx="93">
                  <c:v>101.36</c:v>
                </c:pt>
                <c:pt idx="94">
                  <c:v>99.35</c:v>
                </c:pt>
                <c:pt idx="95">
                  <c:v>95.14</c:v>
                </c:pt>
                <c:pt idx="96">
                  <c:v>83.78</c:v>
                </c:pt>
                <c:pt idx="97">
                  <c:v>82.13</c:v>
                </c:pt>
                <c:pt idx="98">
                  <c:v>78.19</c:v>
                </c:pt>
                <c:pt idx="99">
                  <c:v>50.34</c:v>
                </c:pt>
              </c:numCache>
            </c:numRef>
          </c:xVal>
          <c:yVal>
            <c:numRef>
              <c:f>'00_Dataset'!$G$4:$G$103</c:f>
              <c:numCache>
                <c:formatCode>0</c:formatCode>
                <c:ptCount val="100"/>
                <c:pt idx="0">
                  <c:v>37</c:v>
                </c:pt>
                <c:pt idx="1">
                  <c:v>73</c:v>
                </c:pt>
                <c:pt idx="2">
                  <c:v>7</c:v>
                </c:pt>
                <c:pt idx="3">
                  <c:v>69</c:v>
                </c:pt>
                <c:pt idx="4">
                  <c:v>37</c:v>
                </c:pt>
                <c:pt idx="5">
                  <c:v>62</c:v>
                </c:pt>
                <c:pt idx="6">
                  <c:v>74</c:v>
                </c:pt>
                <c:pt idx="7">
                  <c:v>48</c:v>
                </c:pt>
                <c:pt idx="8">
                  <c:v>55</c:v>
                </c:pt>
                <c:pt idx="9">
                  <c:v>22</c:v>
                </c:pt>
                <c:pt idx="10">
                  <c:v>83</c:v>
                </c:pt>
                <c:pt idx="11">
                  <c:v>13</c:v>
                </c:pt>
                <c:pt idx="12">
                  <c:v>37</c:v>
                </c:pt>
                <c:pt idx="13">
                  <c:v>54</c:v>
                </c:pt>
                <c:pt idx="14">
                  <c:v>57</c:v>
                </c:pt>
                <c:pt idx="15">
                  <c:v>54</c:v>
                </c:pt>
                <c:pt idx="16">
                  <c:v>42</c:v>
                </c:pt>
                <c:pt idx="17">
                  <c:v>40</c:v>
                </c:pt>
                <c:pt idx="18">
                  <c:v>37</c:v>
                </c:pt>
                <c:pt idx="19">
                  <c:v>40</c:v>
                </c:pt>
                <c:pt idx="20">
                  <c:v>57</c:v>
                </c:pt>
                <c:pt idx="21">
                  <c:v>43</c:v>
                </c:pt>
                <c:pt idx="22">
                  <c:v>83</c:v>
                </c:pt>
                <c:pt idx="23">
                  <c:v>99</c:v>
                </c:pt>
                <c:pt idx="24">
                  <c:v>32</c:v>
                </c:pt>
                <c:pt idx="25">
                  <c:v>57</c:v>
                </c:pt>
                <c:pt idx="26">
                  <c:v>11</c:v>
                </c:pt>
                <c:pt idx="27">
                  <c:v>59</c:v>
                </c:pt>
                <c:pt idx="28">
                  <c:v>24</c:v>
                </c:pt>
                <c:pt idx="29">
                  <c:v>90</c:v>
                </c:pt>
                <c:pt idx="30">
                  <c:v>47</c:v>
                </c:pt>
                <c:pt idx="31">
                  <c:v>52</c:v>
                </c:pt>
                <c:pt idx="32">
                  <c:v>24</c:v>
                </c:pt>
                <c:pt idx="33">
                  <c:v>26</c:v>
                </c:pt>
                <c:pt idx="34">
                  <c:v>10</c:v>
                </c:pt>
                <c:pt idx="35">
                  <c:v>51</c:v>
                </c:pt>
                <c:pt idx="36">
                  <c:v>25</c:v>
                </c:pt>
                <c:pt idx="37">
                  <c:v>2</c:v>
                </c:pt>
                <c:pt idx="38">
                  <c:v>56</c:v>
                </c:pt>
                <c:pt idx="39">
                  <c:v>51</c:v>
                </c:pt>
                <c:pt idx="40">
                  <c:v>95</c:v>
                </c:pt>
                <c:pt idx="41">
                  <c:v>6</c:v>
                </c:pt>
                <c:pt idx="42">
                  <c:v>87</c:v>
                </c:pt>
                <c:pt idx="43">
                  <c:v>78</c:v>
                </c:pt>
                <c:pt idx="44">
                  <c:v>61</c:v>
                </c:pt>
                <c:pt idx="45">
                  <c:v>42</c:v>
                </c:pt>
                <c:pt idx="46">
                  <c:v>5</c:v>
                </c:pt>
                <c:pt idx="47">
                  <c:v>56</c:v>
                </c:pt>
                <c:pt idx="48">
                  <c:v>48</c:v>
                </c:pt>
                <c:pt idx="49">
                  <c:v>52</c:v>
                </c:pt>
                <c:pt idx="50">
                  <c:v>10</c:v>
                </c:pt>
                <c:pt idx="51">
                  <c:v>88</c:v>
                </c:pt>
                <c:pt idx="52">
                  <c:v>81</c:v>
                </c:pt>
                <c:pt idx="53">
                  <c:v>71</c:v>
                </c:pt>
                <c:pt idx="54">
                  <c:v>69</c:v>
                </c:pt>
                <c:pt idx="55">
                  <c:v>41</c:v>
                </c:pt>
                <c:pt idx="56">
                  <c:v>74</c:v>
                </c:pt>
                <c:pt idx="57">
                  <c:v>75</c:v>
                </c:pt>
                <c:pt idx="58">
                  <c:v>38</c:v>
                </c:pt>
                <c:pt idx="59">
                  <c:v>90</c:v>
                </c:pt>
                <c:pt idx="60">
                  <c:v>92</c:v>
                </c:pt>
                <c:pt idx="61">
                  <c:v>2</c:v>
                </c:pt>
                <c:pt idx="62">
                  <c:v>36</c:v>
                </c:pt>
                <c:pt idx="63">
                  <c:v>28</c:v>
                </c:pt>
                <c:pt idx="64">
                  <c:v>80</c:v>
                </c:pt>
                <c:pt idx="65">
                  <c:v>76</c:v>
                </c:pt>
                <c:pt idx="66">
                  <c:v>27</c:v>
                </c:pt>
                <c:pt idx="67">
                  <c:v>31</c:v>
                </c:pt>
                <c:pt idx="68">
                  <c:v>30</c:v>
                </c:pt>
                <c:pt idx="69">
                  <c:v>18</c:v>
                </c:pt>
                <c:pt idx="70">
                  <c:v>67</c:v>
                </c:pt>
                <c:pt idx="71">
                  <c:v>68</c:v>
                </c:pt>
                <c:pt idx="72">
                  <c:v>1</c:v>
                </c:pt>
                <c:pt idx="73">
                  <c:v>47</c:v>
                </c:pt>
                <c:pt idx="74">
                  <c:v>55</c:v>
                </c:pt>
                <c:pt idx="75">
                  <c:v>33</c:v>
                </c:pt>
                <c:pt idx="76">
                  <c:v>46</c:v>
                </c:pt>
                <c:pt idx="77">
                  <c:v>40</c:v>
                </c:pt>
                <c:pt idx="78">
                  <c:v>90</c:v>
                </c:pt>
                <c:pt idx="79">
                  <c:v>42</c:v>
                </c:pt>
                <c:pt idx="80">
                  <c:v>25</c:v>
                </c:pt>
                <c:pt idx="81">
                  <c:v>61</c:v>
                </c:pt>
                <c:pt idx="82">
                  <c:v>100</c:v>
                </c:pt>
                <c:pt idx="83">
                  <c:v>71</c:v>
                </c:pt>
                <c:pt idx="84">
                  <c:v>69</c:v>
                </c:pt>
                <c:pt idx="85">
                  <c:v>19</c:v>
                </c:pt>
                <c:pt idx="86">
                  <c:v>35</c:v>
                </c:pt>
                <c:pt idx="87">
                  <c:v>73</c:v>
                </c:pt>
                <c:pt idx="88">
                  <c:v>16</c:v>
                </c:pt>
                <c:pt idx="89">
                  <c:v>61</c:v>
                </c:pt>
                <c:pt idx="90">
                  <c:v>44</c:v>
                </c:pt>
                <c:pt idx="91">
                  <c:v>19</c:v>
                </c:pt>
                <c:pt idx="92">
                  <c:v>96</c:v>
                </c:pt>
                <c:pt idx="93">
                  <c:v>57</c:v>
                </c:pt>
                <c:pt idx="94">
                  <c:v>64</c:v>
                </c:pt>
                <c:pt idx="95">
                  <c:v>13</c:v>
                </c:pt>
                <c:pt idx="96">
                  <c:v>77</c:v>
                </c:pt>
                <c:pt idx="97">
                  <c:v>26</c:v>
                </c:pt>
                <c:pt idx="98">
                  <c:v>2</c:v>
                </c:pt>
                <c:pt idx="99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2-6B4A-B812-EF1F3FBF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914367"/>
        <c:axId val="1121916159"/>
      </c:scatterChart>
      <c:valAx>
        <c:axId val="112191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500" b="1"/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916159"/>
        <c:crosses val="autoZero"/>
        <c:crossBetween val="midCat"/>
      </c:valAx>
      <c:valAx>
        <c:axId val="11219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500" b="1"/>
                  <a:t>Emails Opened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91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/>
              <a:t>Total Spending vs. Other Interactions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rgbClr val="0D8B41"/>
                </a:solidFill>
                <a:ln w="9525">
                  <a:solidFill>
                    <a:srgbClr val="0D8B4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5E0-8049-A908-889F9D130A4D}"/>
              </c:ext>
            </c:extLst>
          </c:dPt>
          <c:xVal>
            <c:numRef>
              <c:f>'00_Dataset'!$E$4:$E$103</c:f>
              <c:numCache>
                <c:formatCode>0.00</c:formatCode>
                <c:ptCount val="100"/>
                <c:pt idx="0">
                  <c:v>1470.86</c:v>
                </c:pt>
                <c:pt idx="1">
                  <c:v>1467.85</c:v>
                </c:pt>
                <c:pt idx="2">
                  <c:v>1437.37</c:v>
                </c:pt>
                <c:pt idx="3">
                  <c:v>1408.34</c:v>
                </c:pt>
                <c:pt idx="4">
                  <c:v>1375.18</c:v>
                </c:pt>
                <c:pt idx="5">
                  <c:v>1367.4</c:v>
                </c:pt>
                <c:pt idx="6">
                  <c:v>1358.22</c:v>
                </c:pt>
                <c:pt idx="7">
                  <c:v>1352.79</c:v>
                </c:pt>
                <c:pt idx="8">
                  <c:v>1346.45</c:v>
                </c:pt>
                <c:pt idx="9">
                  <c:v>1311.22</c:v>
                </c:pt>
                <c:pt idx="10">
                  <c:v>1306.1199999999999</c:v>
                </c:pt>
                <c:pt idx="11">
                  <c:v>1289.6099999999999</c:v>
                </c:pt>
                <c:pt idx="12">
                  <c:v>1283.6199999999999</c:v>
                </c:pt>
                <c:pt idx="13">
                  <c:v>1252.49</c:v>
                </c:pt>
                <c:pt idx="14">
                  <c:v>1239.69</c:v>
                </c:pt>
                <c:pt idx="15">
                  <c:v>1225.58</c:v>
                </c:pt>
                <c:pt idx="16">
                  <c:v>1170.9000000000001</c:v>
                </c:pt>
                <c:pt idx="17">
                  <c:v>1169.96</c:v>
                </c:pt>
                <c:pt idx="18">
                  <c:v>1148.18</c:v>
                </c:pt>
                <c:pt idx="19">
                  <c:v>1120.81</c:v>
                </c:pt>
                <c:pt idx="20">
                  <c:v>1105.25</c:v>
                </c:pt>
                <c:pt idx="21">
                  <c:v>1085.8699999999999</c:v>
                </c:pt>
                <c:pt idx="22">
                  <c:v>1082.95</c:v>
                </c:pt>
                <c:pt idx="23">
                  <c:v>1077.92</c:v>
                </c:pt>
                <c:pt idx="24">
                  <c:v>1061.6199999999999</c:v>
                </c:pt>
                <c:pt idx="25">
                  <c:v>1051.95</c:v>
                </c:pt>
                <c:pt idx="26">
                  <c:v>1050.44</c:v>
                </c:pt>
                <c:pt idx="27">
                  <c:v>1047.8</c:v>
                </c:pt>
                <c:pt idx="28">
                  <c:v>1014.87</c:v>
                </c:pt>
                <c:pt idx="29">
                  <c:v>1007.12</c:v>
                </c:pt>
                <c:pt idx="30">
                  <c:v>986.22</c:v>
                </c:pt>
                <c:pt idx="31">
                  <c:v>983.3</c:v>
                </c:pt>
                <c:pt idx="32">
                  <c:v>976.22</c:v>
                </c:pt>
                <c:pt idx="33">
                  <c:v>910.4</c:v>
                </c:pt>
                <c:pt idx="34">
                  <c:v>909.23</c:v>
                </c:pt>
                <c:pt idx="35">
                  <c:v>906.72</c:v>
                </c:pt>
                <c:pt idx="36">
                  <c:v>905.93</c:v>
                </c:pt>
                <c:pt idx="37">
                  <c:v>876.59</c:v>
                </c:pt>
                <c:pt idx="38">
                  <c:v>831.6</c:v>
                </c:pt>
                <c:pt idx="39">
                  <c:v>818.55</c:v>
                </c:pt>
                <c:pt idx="40">
                  <c:v>813.98</c:v>
                </c:pt>
                <c:pt idx="41">
                  <c:v>811.02</c:v>
                </c:pt>
                <c:pt idx="42">
                  <c:v>791.1</c:v>
                </c:pt>
                <c:pt idx="43">
                  <c:v>780.69</c:v>
                </c:pt>
                <c:pt idx="44">
                  <c:v>770.79</c:v>
                </c:pt>
                <c:pt idx="45">
                  <c:v>762.98</c:v>
                </c:pt>
                <c:pt idx="46">
                  <c:v>733.14</c:v>
                </c:pt>
                <c:pt idx="47">
                  <c:v>720</c:v>
                </c:pt>
                <c:pt idx="48">
                  <c:v>719.18</c:v>
                </c:pt>
                <c:pt idx="49">
                  <c:v>684.76</c:v>
                </c:pt>
                <c:pt idx="50">
                  <c:v>670.79</c:v>
                </c:pt>
                <c:pt idx="51">
                  <c:v>661.88</c:v>
                </c:pt>
                <c:pt idx="52">
                  <c:v>656.16</c:v>
                </c:pt>
                <c:pt idx="53">
                  <c:v>654.67999999999995</c:v>
                </c:pt>
                <c:pt idx="54">
                  <c:v>652.51</c:v>
                </c:pt>
                <c:pt idx="55">
                  <c:v>646.54999999999995</c:v>
                </c:pt>
                <c:pt idx="56">
                  <c:v>629.48</c:v>
                </c:pt>
                <c:pt idx="57">
                  <c:v>628.12</c:v>
                </c:pt>
                <c:pt idx="58">
                  <c:v>626.82000000000005</c:v>
                </c:pt>
                <c:pt idx="59">
                  <c:v>624.96</c:v>
                </c:pt>
                <c:pt idx="60">
                  <c:v>614.02</c:v>
                </c:pt>
                <c:pt idx="61">
                  <c:v>599.74</c:v>
                </c:pt>
                <c:pt idx="62">
                  <c:v>595.16</c:v>
                </c:pt>
                <c:pt idx="63">
                  <c:v>558.63</c:v>
                </c:pt>
                <c:pt idx="64">
                  <c:v>539.24</c:v>
                </c:pt>
                <c:pt idx="65">
                  <c:v>497.99</c:v>
                </c:pt>
                <c:pt idx="66">
                  <c:v>486.37</c:v>
                </c:pt>
                <c:pt idx="67">
                  <c:v>479.36</c:v>
                </c:pt>
                <c:pt idx="68">
                  <c:v>475.34</c:v>
                </c:pt>
                <c:pt idx="69">
                  <c:v>449.87</c:v>
                </c:pt>
                <c:pt idx="70">
                  <c:v>428.25</c:v>
                </c:pt>
                <c:pt idx="71">
                  <c:v>415.83</c:v>
                </c:pt>
                <c:pt idx="72">
                  <c:v>411.46</c:v>
                </c:pt>
                <c:pt idx="73">
                  <c:v>408.58</c:v>
                </c:pt>
                <c:pt idx="74">
                  <c:v>372.76</c:v>
                </c:pt>
                <c:pt idx="75">
                  <c:v>371.86</c:v>
                </c:pt>
                <c:pt idx="76">
                  <c:v>371.61</c:v>
                </c:pt>
                <c:pt idx="77">
                  <c:v>370.57</c:v>
                </c:pt>
                <c:pt idx="78">
                  <c:v>328.33</c:v>
                </c:pt>
                <c:pt idx="79">
                  <c:v>324.75</c:v>
                </c:pt>
                <c:pt idx="80">
                  <c:v>291.36</c:v>
                </c:pt>
                <c:pt idx="81">
                  <c:v>269.94</c:v>
                </c:pt>
                <c:pt idx="82">
                  <c:v>261.52</c:v>
                </c:pt>
                <c:pt idx="83">
                  <c:v>258.17</c:v>
                </c:pt>
                <c:pt idx="84">
                  <c:v>246.25</c:v>
                </c:pt>
                <c:pt idx="85">
                  <c:v>243.23</c:v>
                </c:pt>
                <c:pt idx="86">
                  <c:v>239.86</c:v>
                </c:pt>
                <c:pt idx="87">
                  <c:v>231.17</c:v>
                </c:pt>
                <c:pt idx="88">
                  <c:v>213.54</c:v>
                </c:pt>
                <c:pt idx="89">
                  <c:v>210.26</c:v>
                </c:pt>
                <c:pt idx="90">
                  <c:v>208.49</c:v>
                </c:pt>
                <c:pt idx="91">
                  <c:v>182.68</c:v>
                </c:pt>
                <c:pt idx="92">
                  <c:v>139.59</c:v>
                </c:pt>
                <c:pt idx="93">
                  <c:v>101.36</c:v>
                </c:pt>
                <c:pt idx="94">
                  <c:v>99.35</c:v>
                </c:pt>
                <c:pt idx="95">
                  <c:v>95.14</c:v>
                </c:pt>
                <c:pt idx="96">
                  <c:v>83.78</c:v>
                </c:pt>
                <c:pt idx="97">
                  <c:v>82.13</c:v>
                </c:pt>
                <c:pt idx="98">
                  <c:v>78.19</c:v>
                </c:pt>
                <c:pt idx="99">
                  <c:v>50.34</c:v>
                </c:pt>
              </c:numCache>
            </c:numRef>
          </c:xVal>
          <c:yVal>
            <c:numRef>
              <c:f>'00_Dataset'!$I$4:$I$103</c:f>
              <c:numCache>
                <c:formatCode>0</c:formatCode>
                <c:ptCount val="100"/>
                <c:pt idx="0">
                  <c:v>31</c:v>
                </c:pt>
                <c:pt idx="1">
                  <c:v>30</c:v>
                </c:pt>
                <c:pt idx="2">
                  <c:v>17</c:v>
                </c:pt>
                <c:pt idx="3">
                  <c:v>44</c:v>
                </c:pt>
                <c:pt idx="4">
                  <c:v>43</c:v>
                </c:pt>
                <c:pt idx="5">
                  <c:v>48</c:v>
                </c:pt>
                <c:pt idx="6">
                  <c:v>48</c:v>
                </c:pt>
                <c:pt idx="7">
                  <c:v>30</c:v>
                </c:pt>
                <c:pt idx="8">
                  <c:v>31</c:v>
                </c:pt>
                <c:pt idx="9">
                  <c:v>1</c:v>
                </c:pt>
                <c:pt idx="10">
                  <c:v>30</c:v>
                </c:pt>
                <c:pt idx="11">
                  <c:v>34</c:v>
                </c:pt>
                <c:pt idx="12">
                  <c:v>48</c:v>
                </c:pt>
                <c:pt idx="13">
                  <c:v>35</c:v>
                </c:pt>
                <c:pt idx="14">
                  <c:v>14</c:v>
                </c:pt>
                <c:pt idx="15">
                  <c:v>17</c:v>
                </c:pt>
                <c:pt idx="16">
                  <c:v>30</c:v>
                </c:pt>
                <c:pt idx="17">
                  <c:v>40</c:v>
                </c:pt>
                <c:pt idx="18">
                  <c:v>50</c:v>
                </c:pt>
                <c:pt idx="19">
                  <c:v>11</c:v>
                </c:pt>
                <c:pt idx="20">
                  <c:v>16</c:v>
                </c:pt>
                <c:pt idx="21">
                  <c:v>44</c:v>
                </c:pt>
                <c:pt idx="22">
                  <c:v>17</c:v>
                </c:pt>
                <c:pt idx="23">
                  <c:v>40</c:v>
                </c:pt>
                <c:pt idx="24">
                  <c:v>10</c:v>
                </c:pt>
                <c:pt idx="25">
                  <c:v>37</c:v>
                </c:pt>
                <c:pt idx="26">
                  <c:v>20</c:v>
                </c:pt>
                <c:pt idx="27">
                  <c:v>35</c:v>
                </c:pt>
                <c:pt idx="28">
                  <c:v>43</c:v>
                </c:pt>
                <c:pt idx="29">
                  <c:v>49</c:v>
                </c:pt>
                <c:pt idx="30">
                  <c:v>41</c:v>
                </c:pt>
                <c:pt idx="31">
                  <c:v>6</c:v>
                </c:pt>
                <c:pt idx="32">
                  <c:v>8</c:v>
                </c:pt>
                <c:pt idx="33">
                  <c:v>11</c:v>
                </c:pt>
                <c:pt idx="34">
                  <c:v>41</c:v>
                </c:pt>
                <c:pt idx="35">
                  <c:v>14</c:v>
                </c:pt>
                <c:pt idx="36">
                  <c:v>49</c:v>
                </c:pt>
                <c:pt idx="37">
                  <c:v>29</c:v>
                </c:pt>
                <c:pt idx="38">
                  <c:v>47</c:v>
                </c:pt>
                <c:pt idx="39">
                  <c:v>4</c:v>
                </c:pt>
                <c:pt idx="40">
                  <c:v>48</c:v>
                </c:pt>
                <c:pt idx="41">
                  <c:v>50</c:v>
                </c:pt>
                <c:pt idx="42">
                  <c:v>2</c:v>
                </c:pt>
                <c:pt idx="43">
                  <c:v>26</c:v>
                </c:pt>
                <c:pt idx="44">
                  <c:v>40</c:v>
                </c:pt>
                <c:pt idx="45">
                  <c:v>44</c:v>
                </c:pt>
                <c:pt idx="46">
                  <c:v>21</c:v>
                </c:pt>
                <c:pt idx="47">
                  <c:v>16</c:v>
                </c:pt>
                <c:pt idx="48">
                  <c:v>6</c:v>
                </c:pt>
                <c:pt idx="49">
                  <c:v>50</c:v>
                </c:pt>
                <c:pt idx="50">
                  <c:v>37</c:v>
                </c:pt>
                <c:pt idx="51">
                  <c:v>26</c:v>
                </c:pt>
                <c:pt idx="52">
                  <c:v>34</c:v>
                </c:pt>
                <c:pt idx="53">
                  <c:v>4</c:v>
                </c:pt>
                <c:pt idx="54">
                  <c:v>11</c:v>
                </c:pt>
                <c:pt idx="55">
                  <c:v>27</c:v>
                </c:pt>
                <c:pt idx="56">
                  <c:v>21</c:v>
                </c:pt>
                <c:pt idx="57">
                  <c:v>22</c:v>
                </c:pt>
                <c:pt idx="58">
                  <c:v>2</c:v>
                </c:pt>
                <c:pt idx="59">
                  <c:v>50</c:v>
                </c:pt>
                <c:pt idx="60">
                  <c:v>13</c:v>
                </c:pt>
                <c:pt idx="61">
                  <c:v>45</c:v>
                </c:pt>
                <c:pt idx="62">
                  <c:v>30</c:v>
                </c:pt>
                <c:pt idx="63">
                  <c:v>40</c:v>
                </c:pt>
                <c:pt idx="64">
                  <c:v>8</c:v>
                </c:pt>
                <c:pt idx="65">
                  <c:v>16</c:v>
                </c:pt>
                <c:pt idx="66">
                  <c:v>26</c:v>
                </c:pt>
                <c:pt idx="67">
                  <c:v>36</c:v>
                </c:pt>
                <c:pt idx="68">
                  <c:v>36</c:v>
                </c:pt>
                <c:pt idx="69">
                  <c:v>12</c:v>
                </c:pt>
                <c:pt idx="70">
                  <c:v>31</c:v>
                </c:pt>
                <c:pt idx="71">
                  <c:v>26</c:v>
                </c:pt>
                <c:pt idx="72">
                  <c:v>6</c:v>
                </c:pt>
                <c:pt idx="73">
                  <c:v>3</c:v>
                </c:pt>
                <c:pt idx="74">
                  <c:v>21</c:v>
                </c:pt>
                <c:pt idx="75">
                  <c:v>23</c:v>
                </c:pt>
                <c:pt idx="76">
                  <c:v>50</c:v>
                </c:pt>
                <c:pt idx="77">
                  <c:v>0</c:v>
                </c:pt>
                <c:pt idx="78">
                  <c:v>33</c:v>
                </c:pt>
                <c:pt idx="79">
                  <c:v>24</c:v>
                </c:pt>
                <c:pt idx="80">
                  <c:v>50</c:v>
                </c:pt>
                <c:pt idx="81">
                  <c:v>13</c:v>
                </c:pt>
                <c:pt idx="82">
                  <c:v>4</c:v>
                </c:pt>
                <c:pt idx="83">
                  <c:v>49</c:v>
                </c:pt>
                <c:pt idx="84">
                  <c:v>46</c:v>
                </c:pt>
                <c:pt idx="85">
                  <c:v>18</c:v>
                </c:pt>
                <c:pt idx="86">
                  <c:v>38</c:v>
                </c:pt>
                <c:pt idx="87">
                  <c:v>27</c:v>
                </c:pt>
                <c:pt idx="88">
                  <c:v>29</c:v>
                </c:pt>
                <c:pt idx="89">
                  <c:v>5</c:v>
                </c:pt>
                <c:pt idx="90">
                  <c:v>25</c:v>
                </c:pt>
                <c:pt idx="91">
                  <c:v>21</c:v>
                </c:pt>
                <c:pt idx="92">
                  <c:v>35</c:v>
                </c:pt>
                <c:pt idx="93">
                  <c:v>32</c:v>
                </c:pt>
                <c:pt idx="94">
                  <c:v>6</c:v>
                </c:pt>
                <c:pt idx="95">
                  <c:v>15</c:v>
                </c:pt>
                <c:pt idx="96">
                  <c:v>11</c:v>
                </c:pt>
                <c:pt idx="97">
                  <c:v>8</c:v>
                </c:pt>
                <c:pt idx="98">
                  <c:v>17</c:v>
                </c:pt>
                <c:pt idx="99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0-8049-A908-889F9D130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914367"/>
        <c:axId val="1121916159"/>
      </c:scatterChart>
      <c:valAx>
        <c:axId val="112191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916159"/>
        <c:crosses val="autoZero"/>
        <c:crossBetween val="midCat"/>
      </c:valAx>
      <c:valAx>
        <c:axId val="11219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500" b="1"/>
                  <a:t>Other Interactions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91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[CustomerSegmentation_and_MarketingStrategy.xlsx]03_Recency_Analysis!Tabella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 b="1"/>
              <a:t>Average Engagement and Spending by Recency Category</a:t>
            </a:r>
            <a:endParaRPr lang="it-IT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rgbClr val="C00000"/>
            </a:solidFill>
            <a:round/>
          </a:ln>
          <a:effectLst>
            <a:softEdge rad="0"/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'03_Recency_Analysis'!$C$3</c:f>
              <c:strCache>
                <c:ptCount val="1"/>
                <c:pt idx="0">
                  <c:v>Total Spending Avg. (€)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'03_Recency_Analysis'!$B$4:$B$7</c:f>
              <c:strCache>
                <c:ptCount val="3"/>
                <c:pt idx="0">
                  <c:v>Dormant</c:v>
                </c:pt>
                <c:pt idx="1">
                  <c:v>Intermediate</c:v>
                </c:pt>
                <c:pt idx="2">
                  <c:v>Recent</c:v>
                </c:pt>
              </c:strCache>
            </c:strRef>
          </c:cat>
          <c:val>
            <c:numRef>
              <c:f>'03_Recency_Analysis'!$C$4:$C$7</c:f>
              <c:numCache>
                <c:formatCode>0.00</c:formatCode>
                <c:ptCount val="3"/>
                <c:pt idx="0">
                  <c:v>738.81976190476212</c:v>
                </c:pt>
                <c:pt idx="1">
                  <c:v>737.96181818181799</c:v>
                </c:pt>
                <c:pt idx="2">
                  <c:v>644.14999999999986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33-A746-8B0D-21EAA9378052}"/>
            </c:ext>
          </c:extLst>
        </c:ser>
        <c:ser>
          <c:idx val="1"/>
          <c:order val="1"/>
          <c:tx>
            <c:strRef>
              <c:f>'03_Recency_Analysis'!$D$3</c:f>
              <c:strCache>
                <c:ptCount val="1"/>
                <c:pt idx="0">
                  <c:v>Engagement Index Avg.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'03_Recency_Analysis'!$B$4:$B$7</c:f>
              <c:strCache>
                <c:ptCount val="3"/>
                <c:pt idx="0">
                  <c:v>Dormant</c:v>
                </c:pt>
                <c:pt idx="1">
                  <c:v>Intermediate</c:v>
                </c:pt>
                <c:pt idx="2">
                  <c:v>Recent</c:v>
                </c:pt>
              </c:strCache>
            </c:strRef>
          </c:cat>
          <c:val>
            <c:numRef>
              <c:f>'03_Recency_Analysis'!$D$4:$D$7</c:f>
              <c:numCache>
                <c:formatCode>0</c:formatCode>
                <c:ptCount val="3"/>
                <c:pt idx="0">
                  <c:v>43.500000000000007</c:v>
                </c:pt>
                <c:pt idx="1">
                  <c:v>40.204545454545467</c:v>
                </c:pt>
                <c:pt idx="2">
                  <c:v>36.761904761904766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33-A746-8B0D-21EAA93780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2049023"/>
        <c:axId val="1122146431"/>
      </c:barChart>
      <c:catAx>
        <c:axId val="112204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2146431"/>
        <c:crosses val="autoZero"/>
        <c:auto val="1"/>
        <c:lblAlgn val="ctr"/>
        <c:lblOffset val="100"/>
        <c:noMultiLvlLbl val="0"/>
      </c:catAx>
      <c:valAx>
        <c:axId val="1122146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2049023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[CustomerSegmentation_and_MarketingStrategy.xlsx]04_Engagement_Analysis!Tabella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 b="1" i="0" u="none" strike="noStrike" baseline="0"/>
              <a:t>Average Spending and Engagement by Customer Segment</a:t>
            </a:r>
            <a:endParaRPr lang="it-IT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'04_Engagement_Analysis'!$C$3</c:f>
              <c:strCache>
                <c:ptCount val="1"/>
                <c:pt idx="0">
                  <c:v>Total Spending Avg. (€)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'04_Engagement_Analysis'!$B$4:$B$7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'04_Engagement_Analysis'!$C$4:$C$7</c:f>
              <c:numCache>
                <c:formatCode>0.00</c:formatCode>
                <c:ptCount val="3"/>
                <c:pt idx="0">
                  <c:v>814.01571428571435</c:v>
                </c:pt>
                <c:pt idx="1">
                  <c:v>471.79866666666658</c:v>
                </c:pt>
                <c:pt idx="2">
                  <c:v>748.23561403508756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B3-7F45-8986-83ECF72507FF}"/>
            </c:ext>
          </c:extLst>
        </c:ser>
        <c:ser>
          <c:idx val="1"/>
          <c:order val="1"/>
          <c:tx>
            <c:strRef>
              <c:f>'04_Engagement_Analysis'!$D$3</c:f>
              <c:strCache>
                <c:ptCount val="1"/>
                <c:pt idx="0">
                  <c:v>Engagement Index Avg.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'04_Engagement_Analysis'!$B$4:$B$7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'04_Engagement_Analysis'!$D$4:$D$7</c:f>
              <c:numCache>
                <c:formatCode>0</c:formatCode>
                <c:ptCount val="3"/>
                <c:pt idx="0">
                  <c:v>57.952380952380963</c:v>
                </c:pt>
                <c:pt idx="1">
                  <c:v>20.244444444444447</c:v>
                </c:pt>
                <c:pt idx="2">
                  <c:v>38.321637426900594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B3-7F45-8986-83ECF72507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5234175"/>
        <c:axId val="1115235071"/>
      </c:barChart>
      <c:catAx>
        <c:axId val="11152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15235071"/>
        <c:crosses val="autoZero"/>
        <c:auto val="1"/>
        <c:lblAlgn val="ctr"/>
        <c:lblOffset val="100"/>
        <c:noMultiLvlLbl val="0"/>
      </c:catAx>
      <c:valAx>
        <c:axId val="1115235071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15234175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b="1"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[CustomerSegmentation_and_MarketingStrategy.xlsx]05_Product_Analysis!Tabella pivot4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'05_Product_Analysis'!$C$3</c:f>
              <c:strCache>
                <c:ptCount val="1"/>
                <c:pt idx="0">
                  <c:v>Laces Sum</c:v>
                </c:pt>
              </c:strCache>
            </c:strRef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'05_Product_Analysis'!$B$4:$B$7</c:f>
              <c:strCache>
                <c:ptCount val="3"/>
                <c:pt idx="0">
                  <c:v>Dormant</c:v>
                </c:pt>
                <c:pt idx="1">
                  <c:v>Intermediate</c:v>
                </c:pt>
                <c:pt idx="2">
                  <c:v>Recent</c:v>
                </c:pt>
              </c:strCache>
            </c:strRef>
          </c:cat>
          <c:val>
            <c:numRef>
              <c:f>'05_Product_Analysis'!$C$4:$C$7</c:f>
              <c:numCache>
                <c:formatCode>0</c:formatCode>
                <c:ptCount val="3"/>
                <c:pt idx="0">
                  <c:v>10</c:v>
                </c:pt>
                <c:pt idx="1">
                  <c:v>22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D-F843-8DD6-C5C64897AB94}"/>
            </c:ext>
          </c:extLst>
        </c:ser>
        <c:ser>
          <c:idx val="1"/>
          <c:order val="1"/>
          <c:tx>
            <c:strRef>
              <c:f>'05_Product_Analysis'!$D$3</c:f>
              <c:strCache>
                <c:ptCount val="1"/>
                <c:pt idx="0">
                  <c:v>Lining  Sum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'05_Product_Analysis'!$B$4:$B$7</c:f>
              <c:strCache>
                <c:ptCount val="3"/>
                <c:pt idx="0">
                  <c:v>Dormant</c:v>
                </c:pt>
                <c:pt idx="1">
                  <c:v>Intermediate</c:v>
                </c:pt>
                <c:pt idx="2">
                  <c:v>Recent</c:v>
                </c:pt>
              </c:strCache>
            </c:strRef>
          </c:cat>
          <c:val>
            <c:numRef>
              <c:f>'05_Product_Analysis'!$D$4:$D$7</c:f>
              <c:numCache>
                <c:formatCode>0</c:formatCode>
                <c:ptCount val="3"/>
                <c:pt idx="0">
                  <c:v>18</c:v>
                </c:pt>
                <c:pt idx="1">
                  <c:v>22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D-F843-8DD6-C5C64897AB94}"/>
            </c:ext>
          </c:extLst>
        </c:ser>
        <c:ser>
          <c:idx val="2"/>
          <c:order val="2"/>
          <c:tx>
            <c:strRef>
              <c:f>'05_Product_Analysis'!$E$3</c:f>
              <c:strCache>
                <c:ptCount val="1"/>
                <c:pt idx="0">
                  <c:v>Sole  Sum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'05_Product_Analysis'!$B$4:$B$7</c:f>
              <c:strCache>
                <c:ptCount val="3"/>
                <c:pt idx="0">
                  <c:v>Dormant</c:v>
                </c:pt>
                <c:pt idx="1">
                  <c:v>Intermediate</c:v>
                </c:pt>
                <c:pt idx="2">
                  <c:v>Recent</c:v>
                </c:pt>
              </c:strCache>
            </c:strRef>
          </c:cat>
          <c:val>
            <c:numRef>
              <c:f>'05_Product_Analysis'!$E$4:$E$7</c:f>
              <c:numCache>
                <c:formatCode>0</c:formatCode>
                <c:ptCount val="3"/>
                <c:pt idx="0">
                  <c:v>18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D-F843-8DD6-C5C64897AB94}"/>
            </c:ext>
          </c:extLst>
        </c:ser>
        <c:ser>
          <c:idx val="3"/>
          <c:order val="3"/>
          <c:tx>
            <c:strRef>
              <c:f>'05_Product_Analysis'!$F$3</c:f>
              <c:strCache>
                <c:ptCount val="1"/>
                <c:pt idx="0">
                  <c:v>Insole  Sum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'05_Product_Analysis'!$B$4:$B$7</c:f>
              <c:strCache>
                <c:ptCount val="3"/>
                <c:pt idx="0">
                  <c:v>Dormant</c:v>
                </c:pt>
                <c:pt idx="1">
                  <c:v>Intermediate</c:v>
                </c:pt>
                <c:pt idx="2">
                  <c:v>Recent</c:v>
                </c:pt>
              </c:strCache>
            </c:strRef>
          </c:cat>
          <c:val>
            <c:numRef>
              <c:f>'05_Product_Analysis'!$F$4:$F$7</c:f>
              <c:numCache>
                <c:formatCode>0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D-F843-8DD6-C5C64897AB94}"/>
            </c:ext>
          </c:extLst>
        </c:ser>
        <c:ser>
          <c:idx val="4"/>
          <c:order val="4"/>
          <c:tx>
            <c:strRef>
              <c:f>'05_Product_Analysis'!$G$3</c:f>
              <c:strCache>
                <c:ptCount val="1"/>
                <c:pt idx="0">
                  <c:v>Upper  Sum</c:v>
                </c:pt>
              </c:strCache>
            </c:strRef>
          </c:tx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'05_Product_Analysis'!$B$4:$B$7</c:f>
              <c:strCache>
                <c:ptCount val="3"/>
                <c:pt idx="0">
                  <c:v>Dormant</c:v>
                </c:pt>
                <c:pt idx="1">
                  <c:v>Intermediate</c:v>
                </c:pt>
                <c:pt idx="2">
                  <c:v>Recent</c:v>
                </c:pt>
              </c:strCache>
            </c:strRef>
          </c:cat>
          <c:val>
            <c:numRef>
              <c:f>'05_Product_Analysis'!$G$4:$G$7</c:f>
              <c:numCache>
                <c:formatCode>0</c:formatCode>
                <c:ptCount val="3"/>
                <c:pt idx="0">
                  <c:v>17</c:v>
                </c:pt>
                <c:pt idx="1">
                  <c:v>24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BD-F843-8DD6-C5C64897AB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7099455"/>
        <c:axId val="1797106175"/>
      </c:barChart>
      <c:catAx>
        <c:axId val="179709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7106175"/>
        <c:crosses val="autoZero"/>
        <c:auto val="1"/>
        <c:lblAlgn val="ctr"/>
        <c:lblOffset val="100"/>
        <c:noMultiLvlLbl val="0"/>
      </c:catAx>
      <c:valAx>
        <c:axId val="179710617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709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[CustomerSegmentation_and_MarketingStrategy.xlsx]06_Feedback_Analysis!Tabella pivot6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/>
              <a:t>Average Spending and Engagement by Customer Feedback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'06_Feedback_Analysis'!$C$3</c:f>
              <c:strCache>
                <c:ptCount val="1"/>
                <c:pt idx="0">
                  <c:v>Total Spending Avg. (€)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'06_Feedback_Analysis'!$B$4:$B$14</c:f>
              <c:strCache>
                <c:ptCount val="10"/>
                <c:pt idx="0">
                  <c:v>Elegant and functional packaging.</c:v>
                </c:pt>
                <c:pt idx="1">
                  <c:v>Excellent value for money.</c:v>
                </c:pt>
                <c:pt idx="2">
                  <c:v>Friendly customer service.</c:v>
                </c:pt>
                <c:pt idx="3">
                  <c:v>Innovative and practical design.</c:v>
                </c:pt>
                <c:pt idx="4">
                  <c:v>Not satisfied – product arrived damaged.</c:v>
                </c:pt>
                <c:pt idx="5">
                  <c:v>On-time delivery.</c:v>
                </c:pt>
                <c:pt idx="6">
                  <c:v>Positive purchase experience.</c:v>
                </c:pt>
                <c:pt idx="7">
                  <c:v>Product quality needs improvement.</c:v>
                </c:pt>
                <c:pt idx="8">
                  <c:v>Very satisfied with the product.</c:v>
                </c:pt>
                <c:pt idx="9">
                  <c:v>Would have preferred more color options.</c:v>
                </c:pt>
              </c:strCache>
            </c:strRef>
          </c:cat>
          <c:val>
            <c:numRef>
              <c:f>'06_Feedback_Analysis'!$C$4:$C$14</c:f>
              <c:numCache>
                <c:formatCode>0.00</c:formatCode>
                <c:ptCount val="10"/>
                <c:pt idx="0">
                  <c:v>723.85249999999996</c:v>
                </c:pt>
                <c:pt idx="1">
                  <c:v>807.80214285714305</c:v>
                </c:pt>
                <c:pt idx="2">
                  <c:v>643.42181818181825</c:v>
                </c:pt>
                <c:pt idx="3">
                  <c:v>811.6099999999999</c:v>
                </c:pt>
                <c:pt idx="4">
                  <c:v>666.57749999999999</c:v>
                </c:pt>
                <c:pt idx="5">
                  <c:v>651.60923076923063</c:v>
                </c:pt>
                <c:pt idx="6">
                  <c:v>526.20999999999992</c:v>
                </c:pt>
                <c:pt idx="7">
                  <c:v>748.17750000000001</c:v>
                </c:pt>
                <c:pt idx="8">
                  <c:v>915.44999999999993</c:v>
                </c:pt>
                <c:pt idx="9">
                  <c:v>760.91545454545474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7-E442-B3C5-545B3E52ADEA}"/>
            </c:ext>
          </c:extLst>
        </c:ser>
        <c:ser>
          <c:idx val="1"/>
          <c:order val="1"/>
          <c:tx>
            <c:strRef>
              <c:f>'06_Feedback_Analysis'!$D$3</c:f>
              <c:strCache>
                <c:ptCount val="1"/>
                <c:pt idx="0">
                  <c:v>Engagement Index Avg.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'06_Feedback_Analysis'!$B$4:$B$14</c:f>
              <c:strCache>
                <c:ptCount val="10"/>
                <c:pt idx="0">
                  <c:v>Elegant and functional packaging.</c:v>
                </c:pt>
                <c:pt idx="1">
                  <c:v>Excellent value for money.</c:v>
                </c:pt>
                <c:pt idx="2">
                  <c:v>Friendly customer service.</c:v>
                </c:pt>
                <c:pt idx="3">
                  <c:v>Innovative and practical design.</c:v>
                </c:pt>
                <c:pt idx="4">
                  <c:v>Not satisfied – product arrived damaged.</c:v>
                </c:pt>
                <c:pt idx="5">
                  <c:v>On-time delivery.</c:v>
                </c:pt>
                <c:pt idx="6">
                  <c:v>Positive purchase experience.</c:v>
                </c:pt>
                <c:pt idx="7">
                  <c:v>Product quality needs improvement.</c:v>
                </c:pt>
                <c:pt idx="8">
                  <c:v>Very satisfied with the product.</c:v>
                </c:pt>
                <c:pt idx="9">
                  <c:v>Would have preferred more color options.</c:v>
                </c:pt>
              </c:strCache>
            </c:strRef>
          </c:cat>
          <c:val>
            <c:numRef>
              <c:f>'06_Feedback_Analysis'!$D$4:$D$14</c:f>
              <c:numCache>
                <c:formatCode>0</c:formatCode>
                <c:ptCount val="10"/>
                <c:pt idx="0">
                  <c:v>35.472222222222221</c:v>
                </c:pt>
                <c:pt idx="1">
                  <c:v>44.904761904761905</c:v>
                </c:pt>
                <c:pt idx="2">
                  <c:v>40.212121212121204</c:v>
                </c:pt>
                <c:pt idx="3">
                  <c:v>38.481481481481488</c:v>
                </c:pt>
                <c:pt idx="4">
                  <c:v>39.208333333333336</c:v>
                </c:pt>
                <c:pt idx="5">
                  <c:v>42.487179487179489</c:v>
                </c:pt>
                <c:pt idx="6">
                  <c:v>32.444444444444436</c:v>
                </c:pt>
                <c:pt idx="7">
                  <c:v>55</c:v>
                </c:pt>
                <c:pt idx="8">
                  <c:v>41.481481481481481</c:v>
                </c:pt>
                <c:pt idx="9">
                  <c:v>46.939393939393945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7-E442-B3C5-545B3E52AD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5158079"/>
        <c:axId val="1122115455"/>
      </c:barChart>
      <c:catAx>
        <c:axId val="111515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2115455"/>
        <c:crosses val="autoZero"/>
        <c:auto val="1"/>
        <c:lblAlgn val="ctr"/>
        <c:lblOffset val="100"/>
        <c:noMultiLvlLbl val="0"/>
      </c:catAx>
      <c:valAx>
        <c:axId val="11221154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111515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177800</xdr:rowOff>
    </xdr:from>
    <xdr:to>
      <xdr:col>12</xdr:col>
      <xdr:colOff>0</xdr:colOff>
      <xdr:row>60</xdr:row>
      <xdr:rowOff>169930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FA9E51D-F7FA-C642-B419-ABA1E415D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</xdr:row>
      <xdr:rowOff>194733</xdr:rowOff>
    </xdr:from>
    <xdr:to>
      <xdr:col>12</xdr:col>
      <xdr:colOff>8467</xdr:colOff>
      <xdr:row>32</xdr:row>
      <xdr:rowOff>25400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E4CCEC4-F250-574A-9C46-80158FC5A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63</xdr:row>
      <xdr:rowOff>2601</xdr:rowOff>
    </xdr:from>
    <xdr:to>
      <xdr:col>12</xdr:col>
      <xdr:colOff>12700</xdr:colOff>
      <xdr:row>90</xdr:row>
      <xdr:rowOff>63501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0D5751E-F8CB-4C40-9E11-097A7B5DB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5523</xdr:colOff>
      <xdr:row>2</xdr:row>
      <xdr:rowOff>5345</xdr:rowOff>
    </xdr:from>
    <xdr:to>
      <xdr:col>13</xdr:col>
      <xdr:colOff>1</xdr:colOff>
      <xdr:row>27</xdr:row>
      <xdr:rowOff>45358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7CC329F-F2CA-6D88-96AB-1E1E7164A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19048</xdr:colOff>
      <xdr:row>2</xdr:row>
      <xdr:rowOff>19051</xdr:rowOff>
    </xdr:from>
    <xdr:to>
      <xdr:col>12</xdr:col>
      <xdr:colOff>828260</xdr:colOff>
      <xdr:row>28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FF4D7F7-833F-B7B3-9A50-D0C8A3208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2</xdr:row>
      <xdr:rowOff>1781</xdr:rowOff>
    </xdr:from>
    <xdr:to>
      <xdr:col>20</xdr:col>
      <xdr:colOff>0</xdr:colOff>
      <xdr:row>22</xdr:row>
      <xdr:rowOff>18675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2A5CB2E-E6DB-1CA9-2920-42948B1CC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2189</xdr:colOff>
      <xdr:row>2</xdr:row>
      <xdr:rowOff>2408</xdr:rowOff>
    </xdr:from>
    <xdr:to>
      <xdr:col>17</xdr:col>
      <xdr:colOff>74706</xdr:colOff>
      <xdr:row>36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0111B9C-FCE5-A0C3-AE56-B7B1DDC80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Polignano" refreshedDate="45944.611712615741" createdVersion="8" refreshedVersion="8" minRefreshableVersion="3" recordCount="100" xr:uid="{96D10159-210E-3F44-B9B6-86F819928066}">
  <cacheSource type="worksheet">
    <worksheetSource name="Dataset"/>
  </cacheSource>
  <cacheFields count="19">
    <cacheField name="Client ID" numFmtId="0">
      <sharedItems count="100">
        <s v="C0003"/>
        <s v="C0066"/>
        <s v="C0049"/>
        <s v="C0100"/>
        <s v="C0098"/>
        <s v="C0022"/>
        <s v="C0021"/>
        <s v="C0026"/>
        <s v="C0074"/>
        <s v="C0073"/>
        <s v="C0065"/>
        <s v="C0016"/>
        <s v="C0076"/>
        <s v="C0027"/>
        <s v="C0017"/>
        <s v="C0061"/>
        <s v="C0063"/>
        <s v="C0089"/>
        <s v="C0070"/>
        <s v="C0095"/>
        <s v="C0012"/>
        <s v="C0080"/>
        <s v="C0007"/>
        <s v="C0059"/>
        <s v="C0090"/>
        <s v="C0050"/>
        <s v="C0056"/>
        <s v="C0093"/>
        <s v="C0004"/>
        <s v="C0087"/>
        <s v="C0005"/>
        <s v="C0034"/>
        <s v="C0060"/>
        <s v="C0048"/>
        <s v="C0028"/>
        <s v="C0039"/>
        <s v="C0038"/>
        <s v="C0067"/>
        <s v="C0020"/>
        <s v="C0055"/>
        <s v="C0010"/>
        <s v="C0036"/>
        <s v="C0069"/>
        <s v="C0041"/>
        <s v="C0084"/>
        <s v="C0091"/>
        <s v="C0011"/>
        <s v="C0013"/>
        <s v="C0053"/>
        <s v="C0068"/>
        <s v="C0031"/>
        <s v="C0097"/>
        <s v="C0071"/>
        <s v="C0046"/>
        <s v="C0025"/>
        <s v="C0064"/>
        <s v="C0024"/>
        <s v="C0081"/>
        <s v="C0079"/>
        <s v="C0051"/>
        <s v="C0045"/>
        <s v="C0019"/>
        <s v="C0054"/>
        <s v="C0083"/>
        <s v="C0042"/>
        <s v="C0075"/>
        <s v="C0009"/>
        <s v="C0030"/>
        <s v="C0002"/>
        <s v="C0018"/>
        <s v="C0082"/>
        <s v="C0092"/>
        <s v="C0032"/>
        <s v="C0044"/>
        <s v="C0037"/>
        <s v="C0096"/>
        <s v="C0085"/>
        <s v="C0043"/>
        <s v="C0088"/>
        <s v="C0008"/>
        <s v="C0057"/>
        <s v="C0035"/>
        <s v="C0072"/>
        <s v="C0052"/>
        <s v="C0058"/>
        <s v="C0077"/>
        <s v="C0014"/>
        <s v="C0040"/>
        <s v="C0001"/>
        <s v="C0047"/>
        <s v="C0023"/>
        <s v="C0078"/>
        <s v="C0062"/>
        <s v="C0094"/>
        <s v="C0029"/>
        <s v="C0006"/>
        <s v="C0086"/>
        <s v="C0015"/>
        <s v="C0033"/>
        <s v="C0099"/>
      </sharedItems>
    </cacheField>
    <cacheField name="Age" numFmtId="1">
      <sharedItems containsSemiMixedTypes="0" containsString="0" containsNumber="1" containsInteger="1" minValue="18" maxValue="70"/>
    </cacheField>
    <cacheField name="Gender" numFmtId="49">
      <sharedItems count="2">
        <s v="F"/>
        <s v="M"/>
      </sharedItems>
    </cacheField>
    <cacheField name="Total Spending (€)" numFmtId="2">
      <sharedItems containsSemiMixedTypes="0" containsString="0" containsNumber="1" minValue="50.34" maxValue="1470.86"/>
    </cacheField>
    <cacheField name="Last Purchase Date" numFmtId="14">
      <sharedItems/>
    </cacheField>
    <cacheField name="Email Opening" numFmtId="1">
      <sharedItems containsSemiMixedTypes="0" containsString="0" containsNumber="1" containsInteger="1" minValue="1" maxValue="100"/>
    </cacheField>
    <cacheField name="Links Clicked" numFmtId="1">
      <sharedItems containsSemiMixedTypes="0" containsString="0" containsNumber="1" containsInteger="1" minValue="2" maxValue="100"/>
    </cacheField>
    <cacheField name="Other Interactions" numFmtId="1">
      <sharedItems containsSemiMixedTypes="0" containsString="0" containsNumber="1" containsInteger="1" minValue="0" maxValue="50"/>
    </cacheField>
    <cacheField name="Feedback &amp; Reviews" numFmtId="49">
      <sharedItems count="10">
        <s v="Excellent value for money."/>
        <s v="Product quality needs improvement."/>
        <s v="Very satisfied with the product."/>
        <s v="Would have preferred more color options."/>
        <s v="On-time delivery."/>
        <s v="Innovative and practical design."/>
        <s v="Elegant and functional packaging."/>
        <s v="Friendly customer service."/>
        <s v="Not satisfied – product arrived damaged."/>
        <s v="Positive purchase experience."/>
      </sharedItems>
    </cacheField>
    <cacheField name="Upper" numFmtId="1">
      <sharedItems containsSemiMixedTypes="0" containsString="0" containsNumber="1" containsInteger="1" minValue="0" maxValue="1"/>
    </cacheField>
    <cacheField name="Insole" numFmtId="1">
      <sharedItems containsSemiMixedTypes="0" containsString="0" containsNumber="1" containsInteger="1" minValue="0" maxValue="1"/>
    </cacheField>
    <cacheField name="Sole" numFmtId="1">
      <sharedItems containsSemiMixedTypes="0" containsString="0" containsNumber="1" containsInteger="1" minValue="0" maxValue="1"/>
    </cacheField>
    <cacheField name="Lining" numFmtId="1">
      <sharedItems containsSemiMixedTypes="0" containsString="0" containsNumber="1" containsInteger="1" minValue="0" maxValue="1"/>
    </cacheField>
    <cacheField name="Laces" numFmtId="1">
      <sharedItems containsSemiMixedTypes="0" containsString="0" containsNumber="1" containsInteger="1" minValue="0" maxValue="1"/>
    </cacheField>
    <cacheField name="Recency (days)" numFmtId="1">
      <sharedItems containsSemiMixedTypes="0" containsString="0" containsNumber="1" containsInteger="1" minValue="141" maxValue="502"/>
    </cacheField>
    <cacheField name="Recency Categories" numFmtId="1">
      <sharedItems count="3">
        <s v="Dormant"/>
        <s v="Intermediate"/>
        <s v="Recent"/>
      </sharedItems>
    </cacheField>
    <cacheField name="Engagement Index" numFmtId="1">
      <sharedItems containsSemiMixedTypes="0" containsString="0" containsNumber="1" minValue="15.333333333333334" maxValue="75.666666666666671"/>
    </cacheField>
    <cacheField name="Engagement Level" numFmtId="1">
      <sharedItems count="3">
        <s v="High"/>
        <s v="Medium"/>
        <s v="Low"/>
      </sharedItems>
    </cacheField>
    <cacheField name="Total Components Purchased" numFmtId="1">
      <sharedItems containsSemiMixedTypes="0" containsString="0" containsNumber="1" containsInteger="1" minValue="142" maxValue="5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38"/>
    <x v="0"/>
    <n v="1470.86"/>
    <s v="2024-07-16"/>
    <n v="37"/>
    <n v="90"/>
    <n v="31"/>
    <x v="0"/>
    <n v="0"/>
    <n v="1"/>
    <n v="1"/>
    <n v="1"/>
    <n v="0"/>
    <n v="455"/>
    <x v="0"/>
    <n v="52.666666666666664"/>
    <x v="0"/>
    <n v="458"/>
  </r>
  <r>
    <x v="1"/>
    <n v="40"/>
    <x v="0"/>
    <n v="1467.85"/>
    <s v="2025-03-02"/>
    <n v="73"/>
    <n v="100"/>
    <n v="30"/>
    <x v="0"/>
    <n v="1"/>
    <n v="1"/>
    <n v="1"/>
    <n v="0"/>
    <n v="1"/>
    <n v="226"/>
    <x v="1"/>
    <n v="67.666666666666671"/>
    <x v="0"/>
    <n v="230"/>
  </r>
  <r>
    <x v="2"/>
    <n v="56"/>
    <x v="0"/>
    <n v="1437.37"/>
    <s v="2025-04-26"/>
    <n v="7"/>
    <n v="89"/>
    <n v="17"/>
    <x v="1"/>
    <n v="0"/>
    <n v="1"/>
    <n v="1"/>
    <n v="1"/>
    <n v="0"/>
    <n v="171"/>
    <x v="2"/>
    <n v="37.666666666666664"/>
    <x v="1"/>
    <n v="174"/>
  </r>
  <r>
    <x v="3"/>
    <n v="56"/>
    <x v="1"/>
    <n v="1408.34"/>
    <s v="2024-09-19"/>
    <n v="69"/>
    <n v="7"/>
    <n v="44"/>
    <x v="2"/>
    <n v="0"/>
    <n v="0"/>
    <n v="1"/>
    <n v="0"/>
    <n v="0"/>
    <n v="390"/>
    <x v="0"/>
    <n v="40"/>
    <x v="1"/>
    <n v="391"/>
  </r>
  <r>
    <x v="4"/>
    <n v="57"/>
    <x v="1"/>
    <n v="1375.18"/>
    <s v="2024-07-09"/>
    <n v="37"/>
    <n v="68"/>
    <n v="43"/>
    <x v="0"/>
    <n v="0"/>
    <n v="1"/>
    <n v="0"/>
    <n v="0"/>
    <n v="1"/>
    <n v="462"/>
    <x v="0"/>
    <n v="49.333333333333336"/>
    <x v="1"/>
    <n v="464"/>
  </r>
  <r>
    <x v="5"/>
    <n v="25"/>
    <x v="1"/>
    <n v="1367.4"/>
    <s v="2024-06-05"/>
    <n v="62"/>
    <n v="89"/>
    <n v="48"/>
    <x v="3"/>
    <n v="1"/>
    <n v="0"/>
    <n v="0"/>
    <n v="0"/>
    <n v="0"/>
    <n v="496"/>
    <x v="0"/>
    <n v="66.333333333333329"/>
    <x v="0"/>
    <n v="497"/>
  </r>
  <r>
    <x v="6"/>
    <n v="20"/>
    <x v="0"/>
    <n v="1358.22"/>
    <s v="2025-01-24"/>
    <n v="74"/>
    <n v="45"/>
    <n v="48"/>
    <x v="4"/>
    <n v="1"/>
    <n v="1"/>
    <n v="1"/>
    <n v="0"/>
    <n v="1"/>
    <n v="263"/>
    <x v="1"/>
    <n v="55.666666666666664"/>
    <x v="0"/>
    <n v="267"/>
  </r>
  <r>
    <x v="7"/>
    <n v="43"/>
    <x v="0"/>
    <n v="1352.79"/>
    <s v="2024-12-22"/>
    <n v="48"/>
    <n v="97"/>
    <n v="30"/>
    <x v="3"/>
    <n v="1"/>
    <n v="1"/>
    <n v="1"/>
    <n v="0"/>
    <n v="0"/>
    <n v="296"/>
    <x v="1"/>
    <n v="58.333333333333336"/>
    <x v="0"/>
    <n v="299"/>
  </r>
  <r>
    <x v="8"/>
    <n v="45"/>
    <x v="0"/>
    <n v="1346.45"/>
    <s v="2025-02-15"/>
    <n v="55"/>
    <n v="2"/>
    <n v="31"/>
    <x v="3"/>
    <n v="0"/>
    <n v="0"/>
    <n v="0"/>
    <n v="0"/>
    <n v="1"/>
    <n v="241"/>
    <x v="1"/>
    <n v="29.333333333333332"/>
    <x v="1"/>
    <n v="242"/>
  </r>
  <r>
    <x v="9"/>
    <n v="70"/>
    <x v="0"/>
    <n v="1311.22"/>
    <s v="2024-11-11"/>
    <n v="22"/>
    <n v="73"/>
    <n v="1"/>
    <x v="2"/>
    <n v="1"/>
    <n v="0"/>
    <n v="0"/>
    <n v="1"/>
    <n v="1"/>
    <n v="337"/>
    <x v="1"/>
    <n v="32"/>
    <x v="1"/>
    <n v="340"/>
  </r>
  <r>
    <x v="10"/>
    <n v="21"/>
    <x v="1"/>
    <n v="1306.1199999999999"/>
    <s v="2024-11-14"/>
    <n v="83"/>
    <n v="67"/>
    <n v="30"/>
    <x v="5"/>
    <n v="1"/>
    <n v="0"/>
    <n v="0"/>
    <n v="1"/>
    <n v="1"/>
    <n v="334"/>
    <x v="1"/>
    <n v="60"/>
    <x v="0"/>
    <n v="337"/>
  </r>
  <r>
    <x v="11"/>
    <n v="48"/>
    <x v="0"/>
    <n v="1289.6099999999999"/>
    <s v="2024-09-25"/>
    <n v="13"/>
    <n v="46"/>
    <n v="34"/>
    <x v="6"/>
    <n v="1"/>
    <n v="0"/>
    <n v="0"/>
    <n v="1"/>
    <n v="0"/>
    <n v="384"/>
    <x v="0"/>
    <n v="31"/>
    <x v="1"/>
    <n v="386"/>
  </r>
  <r>
    <x v="12"/>
    <n v="27"/>
    <x v="0"/>
    <n v="1283.6199999999999"/>
    <s v="2024-10-24"/>
    <n v="37"/>
    <n v="57"/>
    <n v="48"/>
    <x v="4"/>
    <n v="1"/>
    <n v="1"/>
    <n v="0"/>
    <n v="0"/>
    <n v="1"/>
    <n v="355"/>
    <x v="1"/>
    <n v="47.333333333333336"/>
    <x v="1"/>
    <n v="358"/>
  </r>
  <r>
    <x v="13"/>
    <n v="57"/>
    <x v="0"/>
    <n v="1252.49"/>
    <s v="2025-02-13"/>
    <n v="54"/>
    <n v="35"/>
    <n v="35"/>
    <x v="6"/>
    <n v="0"/>
    <n v="1"/>
    <n v="1"/>
    <n v="1"/>
    <n v="0"/>
    <n v="243"/>
    <x v="1"/>
    <n v="41.333333333333336"/>
    <x v="1"/>
    <n v="246"/>
  </r>
  <r>
    <x v="14"/>
    <n v="63"/>
    <x v="0"/>
    <n v="1239.69"/>
    <s v="2025-05-04"/>
    <n v="57"/>
    <n v="51"/>
    <n v="14"/>
    <x v="2"/>
    <n v="0"/>
    <n v="1"/>
    <n v="1"/>
    <n v="0"/>
    <n v="1"/>
    <n v="163"/>
    <x v="2"/>
    <n v="40.666666666666664"/>
    <x v="1"/>
    <n v="166"/>
  </r>
  <r>
    <x v="15"/>
    <n v="37"/>
    <x v="0"/>
    <n v="1225.58"/>
    <s v="2024-11-20"/>
    <n v="54"/>
    <n v="29"/>
    <n v="17"/>
    <x v="2"/>
    <n v="0"/>
    <n v="0"/>
    <n v="1"/>
    <n v="0"/>
    <n v="0"/>
    <n v="328"/>
    <x v="1"/>
    <n v="33.333333333333336"/>
    <x v="1"/>
    <n v="329"/>
  </r>
  <r>
    <x v="16"/>
    <n v="56"/>
    <x v="0"/>
    <n v="1170.9000000000001"/>
    <s v="2024-09-01"/>
    <n v="42"/>
    <n v="29"/>
    <n v="30"/>
    <x v="7"/>
    <n v="1"/>
    <n v="1"/>
    <n v="1"/>
    <n v="0"/>
    <n v="0"/>
    <n v="408"/>
    <x v="0"/>
    <n v="33.666666666666664"/>
    <x v="1"/>
    <n v="411"/>
  </r>
  <r>
    <x v="17"/>
    <n v="24"/>
    <x v="1"/>
    <n v="1169.96"/>
    <s v="2024-06-01"/>
    <n v="40"/>
    <n v="67"/>
    <n v="40"/>
    <x v="5"/>
    <n v="0"/>
    <n v="0"/>
    <n v="0"/>
    <n v="1"/>
    <n v="0"/>
    <n v="500"/>
    <x v="0"/>
    <n v="49"/>
    <x v="1"/>
    <n v="501"/>
  </r>
  <r>
    <x v="18"/>
    <n v="19"/>
    <x v="1"/>
    <n v="1148.18"/>
    <s v="2025-01-16"/>
    <n v="37"/>
    <n v="48"/>
    <n v="50"/>
    <x v="8"/>
    <n v="1"/>
    <n v="0"/>
    <n v="1"/>
    <n v="0"/>
    <n v="1"/>
    <n v="271"/>
    <x v="1"/>
    <n v="45"/>
    <x v="1"/>
    <n v="274"/>
  </r>
  <r>
    <x v="19"/>
    <n v="26"/>
    <x v="0"/>
    <n v="1120.81"/>
    <s v="2025-03-08"/>
    <n v="40"/>
    <n v="28"/>
    <n v="11"/>
    <x v="5"/>
    <n v="0"/>
    <n v="1"/>
    <n v="0"/>
    <n v="1"/>
    <n v="0"/>
    <n v="220"/>
    <x v="1"/>
    <n v="26.333333333333332"/>
    <x v="1"/>
    <n v="222"/>
  </r>
  <r>
    <x v="20"/>
    <n v="66"/>
    <x v="1"/>
    <n v="1105.25"/>
    <s v="2024-06-19"/>
    <n v="57"/>
    <n v="34"/>
    <n v="16"/>
    <x v="7"/>
    <n v="1"/>
    <n v="0"/>
    <n v="0"/>
    <n v="0"/>
    <n v="0"/>
    <n v="482"/>
    <x v="0"/>
    <n v="35.666666666666664"/>
    <x v="1"/>
    <n v="483"/>
  </r>
  <r>
    <x v="21"/>
    <n v="69"/>
    <x v="0"/>
    <n v="1085.8699999999999"/>
    <s v="2025-01-04"/>
    <n v="43"/>
    <n v="15"/>
    <n v="44"/>
    <x v="6"/>
    <n v="1"/>
    <n v="0"/>
    <n v="0"/>
    <n v="0"/>
    <n v="0"/>
    <n v="283"/>
    <x v="1"/>
    <n v="34"/>
    <x v="1"/>
    <n v="284"/>
  </r>
  <r>
    <x v="22"/>
    <n v="40"/>
    <x v="0"/>
    <n v="1082.95"/>
    <s v="2024-05-31"/>
    <n v="83"/>
    <n v="73"/>
    <n v="17"/>
    <x v="9"/>
    <n v="1"/>
    <n v="1"/>
    <n v="0"/>
    <n v="0"/>
    <n v="0"/>
    <n v="501"/>
    <x v="0"/>
    <n v="57.666666666666664"/>
    <x v="0"/>
    <n v="503"/>
  </r>
  <r>
    <x v="23"/>
    <n v="31"/>
    <x v="1"/>
    <n v="1077.92"/>
    <s v="2024-08-03"/>
    <n v="99"/>
    <n v="88"/>
    <n v="40"/>
    <x v="1"/>
    <n v="0"/>
    <n v="0"/>
    <n v="1"/>
    <n v="1"/>
    <n v="0"/>
    <n v="437"/>
    <x v="0"/>
    <n v="75.666666666666671"/>
    <x v="0"/>
    <n v="439"/>
  </r>
  <r>
    <x v="24"/>
    <n v="61"/>
    <x v="0"/>
    <n v="1061.6199999999999"/>
    <s v="2024-06-01"/>
    <n v="32"/>
    <n v="29"/>
    <n v="10"/>
    <x v="8"/>
    <n v="0"/>
    <n v="0"/>
    <n v="0"/>
    <n v="1"/>
    <n v="0"/>
    <n v="500"/>
    <x v="0"/>
    <n v="23.666666666666668"/>
    <x v="2"/>
    <n v="501"/>
  </r>
  <r>
    <x v="25"/>
    <n v="20"/>
    <x v="0"/>
    <n v="1051.95"/>
    <s v="2024-07-03"/>
    <n v="57"/>
    <n v="79"/>
    <n v="37"/>
    <x v="2"/>
    <n v="0"/>
    <n v="1"/>
    <n v="1"/>
    <n v="0"/>
    <n v="1"/>
    <n v="468"/>
    <x v="0"/>
    <n v="57.666666666666664"/>
    <x v="0"/>
    <n v="471"/>
  </r>
  <r>
    <x v="26"/>
    <n v="66"/>
    <x v="1"/>
    <n v="1050.44"/>
    <s v="2024-08-27"/>
    <n v="11"/>
    <n v="67"/>
    <n v="20"/>
    <x v="5"/>
    <n v="0"/>
    <n v="1"/>
    <n v="0"/>
    <n v="0"/>
    <n v="1"/>
    <n v="413"/>
    <x v="0"/>
    <n v="32.666666666666664"/>
    <x v="1"/>
    <n v="415"/>
  </r>
  <r>
    <x v="27"/>
    <n v="58"/>
    <x v="0"/>
    <n v="1047.8"/>
    <s v="2024-11-21"/>
    <n v="59"/>
    <n v="54"/>
    <n v="35"/>
    <x v="6"/>
    <n v="0"/>
    <n v="1"/>
    <n v="0"/>
    <n v="0"/>
    <n v="0"/>
    <n v="327"/>
    <x v="1"/>
    <n v="49.333333333333336"/>
    <x v="1"/>
    <n v="328"/>
  </r>
  <r>
    <x v="28"/>
    <n v="59"/>
    <x v="1"/>
    <n v="1014.87"/>
    <s v="2025-03-21"/>
    <n v="24"/>
    <n v="39"/>
    <n v="43"/>
    <x v="4"/>
    <n v="0"/>
    <n v="1"/>
    <n v="0"/>
    <n v="0"/>
    <n v="0"/>
    <n v="207"/>
    <x v="1"/>
    <n v="35.333333333333336"/>
    <x v="1"/>
    <n v="208"/>
  </r>
  <r>
    <x v="29"/>
    <n v="42"/>
    <x v="0"/>
    <n v="1007.12"/>
    <s v="2024-10-09"/>
    <n v="90"/>
    <n v="38"/>
    <n v="49"/>
    <x v="3"/>
    <n v="0"/>
    <n v="0"/>
    <n v="0"/>
    <n v="1"/>
    <n v="0"/>
    <n v="370"/>
    <x v="0"/>
    <n v="59"/>
    <x v="0"/>
    <n v="371"/>
  </r>
  <r>
    <x v="30"/>
    <n v="31"/>
    <x v="0"/>
    <n v="986.22"/>
    <s v="2024-09-14"/>
    <n v="47"/>
    <n v="29"/>
    <n v="41"/>
    <x v="0"/>
    <n v="0"/>
    <n v="0"/>
    <n v="1"/>
    <n v="0"/>
    <n v="0"/>
    <n v="395"/>
    <x v="0"/>
    <n v="39"/>
    <x v="1"/>
    <n v="396"/>
  </r>
  <r>
    <x v="31"/>
    <n v="33"/>
    <x v="1"/>
    <n v="983.3"/>
    <s v="2025-03-09"/>
    <n v="52"/>
    <n v="26"/>
    <n v="6"/>
    <x v="3"/>
    <n v="0"/>
    <n v="1"/>
    <n v="1"/>
    <n v="0"/>
    <n v="0"/>
    <n v="219"/>
    <x v="1"/>
    <n v="28"/>
    <x v="1"/>
    <n v="221"/>
  </r>
  <r>
    <x v="32"/>
    <n v="31"/>
    <x v="1"/>
    <n v="976.22"/>
    <s v="2024-05-31"/>
    <n v="24"/>
    <n v="77"/>
    <n v="8"/>
    <x v="0"/>
    <n v="0"/>
    <n v="1"/>
    <n v="0"/>
    <n v="0"/>
    <n v="0"/>
    <n v="501"/>
    <x v="0"/>
    <n v="36.333333333333336"/>
    <x v="1"/>
    <n v="502"/>
  </r>
  <r>
    <x v="33"/>
    <n v="59"/>
    <x v="0"/>
    <n v="910.4"/>
    <s v="2025-04-28"/>
    <n v="26"/>
    <n v="89"/>
    <n v="11"/>
    <x v="4"/>
    <n v="0"/>
    <n v="1"/>
    <n v="1"/>
    <n v="1"/>
    <n v="1"/>
    <n v="169"/>
    <x v="2"/>
    <n v="42"/>
    <x v="1"/>
    <n v="173"/>
  </r>
  <r>
    <x v="34"/>
    <n v="33"/>
    <x v="0"/>
    <n v="909.23"/>
    <s v="2024-08-09"/>
    <n v="10"/>
    <n v="13"/>
    <n v="41"/>
    <x v="5"/>
    <n v="0"/>
    <n v="1"/>
    <n v="1"/>
    <n v="1"/>
    <n v="1"/>
    <n v="431"/>
    <x v="0"/>
    <n v="21.333333333333332"/>
    <x v="2"/>
    <n v="435"/>
  </r>
  <r>
    <x v="35"/>
    <n v="48"/>
    <x v="0"/>
    <n v="906.72"/>
    <s v="2024-12-24"/>
    <n v="51"/>
    <n v="69"/>
    <n v="14"/>
    <x v="3"/>
    <n v="1"/>
    <n v="1"/>
    <n v="1"/>
    <n v="0"/>
    <n v="0"/>
    <n v="294"/>
    <x v="1"/>
    <n v="44.666666666666664"/>
    <x v="1"/>
    <n v="297"/>
  </r>
  <r>
    <x v="36"/>
    <n v="59"/>
    <x v="1"/>
    <n v="905.93"/>
    <s v="2025-03-20"/>
    <n v="25"/>
    <n v="2"/>
    <n v="49"/>
    <x v="9"/>
    <n v="0"/>
    <n v="0"/>
    <n v="0"/>
    <n v="0"/>
    <n v="1"/>
    <n v="208"/>
    <x v="1"/>
    <n v="25.333333333333332"/>
    <x v="1"/>
    <n v="209"/>
  </r>
  <r>
    <x v="37"/>
    <n v="39"/>
    <x v="1"/>
    <n v="876.59"/>
    <s v="2024-11-19"/>
    <n v="2"/>
    <n v="95"/>
    <n v="29"/>
    <x v="0"/>
    <n v="1"/>
    <n v="0"/>
    <n v="0"/>
    <n v="1"/>
    <n v="0"/>
    <n v="329"/>
    <x v="1"/>
    <n v="42"/>
    <x v="1"/>
    <n v="331"/>
  </r>
  <r>
    <x v="38"/>
    <n v="27"/>
    <x v="1"/>
    <n v="831.6"/>
    <s v="2024-09-03"/>
    <n v="56"/>
    <n v="52"/>
    <n v="47"/>
    <x v="0"/>
    <n v="0"/>
    <n v="1"/>
    <n v="0"/>
    <n v="1"/>
    <n v="0"/>
    <n v="406"/>
    <x v="0"/>
    <n v="51.666666666666664"/>
    <x v="0"/>
    <n v="408"/>
  </r>
  <r>
    <x v="39"/>
    <n v="52"/>
    <x v="1"/>
    <n v="818.55"/>
    <s v="2024-09-26"/>
    <n v="51"/>
    <n v="93"/>
    <n v="4"/>
    <x v="4"/>
    <n v="1"/>
    <n v="1"/>
    <n v="0"/>
    <n v="1"/>
    <n v="0"/>
    <n v="383"/>
    <x v="0"/>
    <n v="49.333333333333336"/>
    <x v="1"/>
    <n v="386"/>
  </r>
  <r>
    <x v="40"/>
    <n v="40"/>
    <x v="0"/>
    <n v="813.98"/>
    <s v="2024-08-06"/>
    <n v="95"/>
    <n v="16"/>
    <n v="48"/>
    <x v="2"/>
    <n v="0"/>
    <n v="1"/>
    <n v="0"/>
    <n v="0"/>
    <n v="0"/>
    <n v="434"/>
    <x v="0"/>
    <n v="53"/>
    <x v="0"/>
    <n v="435"/>
  </r>
  <r>
    <x v="41"/>
    <n v="44"/>
    <x v="1"/>
    <n v="811.02"/>
    <s v="2024-06-28"/>
    <n v="6"/>
    <n v="2"/>
    <n v="50"/>
    <x v="8"/>
    <n v="0"/>
    <n v="0"/>
    <n v="1"/>
    <n v="0"/>
    <n v="0"/>
    <n v="473"/>
    <x v="0"/>
    <n v="19.333333333333332"/>
    <x v="2"/>
    <n v="474"/>
  </r>
  <r>
    <x v="42"/>
    <n v="19"/>
    <x v="0"/>
    <n v="791.1"/>
    <s v="2025-02-16"/>
    <n v="87"/>
    <n v="46"/>
    <n v="2"/>
    <x v="4"/>
    <n v="1"/>
    <n v="1"/>
    <n v="0"/>
    <n v="0"/>
    <n v="0"/>
    <n v="240"/>
    <x v="1"/>
    <n v="45"/>
    <x v="1"/>
    <n v="242"/>
  </r>
  <r>
    <x v="43"/>
    <n v="65"/>
    <x v="1"/>
    <n v="780.69"/>
    <s v="2024-11-21"/>
    <n v="78"/>
    <n v="26"/>
    <n v="26"/>
    <x v="7"/>
    <n v="1"/>
    <n v="0"/>
    <n v="0"/>
    <n v="1"/>
    <n v="1"/>
    <n v="327"/>
    <x v="1"/>
    <n v="43.333333333333336"/>
    <x v="1"/>
    <n v="330"/>
  </r>
  <r>
    <x v="44"/>
    <n v="57"/>
    <x v="0"/>
    <n v="770.79"/>
    <s v="2025-05-26"/>
    <n v="61"/>
    <n v="90"/>
    <n v="40"/>
    <x v="3"/>
    <n v="0"/>
    <n v="0"/>
    <n v="0"/>
    <n v="1"/>
    <n v="0"/>
    <n v="141"/>
    <x v="2"/>
    <n v="63.666666666666664"/>
    <x v="0"/>
    <n v="142"/>
  </r>
  <r>
    <x v="45"/>
    <n v="45"/>
    <x v="1"/>
    <n v="762.98"/>
    <s v="2024-12-15"/>
    <n v="42"/>
    <n v="92"/>
    <n v="44"/>
    <x v="4"/>
    <n v="1"/>
    <n v="0"/>
    <n v="0"/>
    <n v="1"/>
    <n v="1"/>
    <n v="303"/>
    <x v="1"/>
    <n v="59.333333333333336"/>
    <x v="0"/>
    <n v="306"/>
  </r>
  <r>
    <x v="46"/>
    <n v="36"/>
    <x v="0"/>
    <n v="733.14"/>
    <s v="2025-05-18"/>
    <n v="5"/>
    <n v="20"/>
    <n v="21"/>
    <x v="9"/>
    <n v="1"/>
    <n v="1"/>
    <n v="1"/>
    <n v="0"/>
    <n v="0"/>
    <n v="149"/>
    <x v="2"/>
    <n v="15.333333333333334"/>
    <x v="2"/>
    <n v="152"/>
  </r>
  <r>
    <x v="47"/>
    <n v="23"/>
    <x v="0"/>
    <n v="720"/>
    <s v="2024-06-07"/>
    <n v="56"/>
    <n v="48"/>
    <n v="16"/>
    <x v="9"/>
    <n v="1"/>
    <n v="0"/>
    <n v="0"/>
    <n v="0"/>
    <n v="0"/>
    <n v="494"/>
    <x v="0"/>
    <n v="40"/>
    <x v="1"/>
    <n v="495"/>
  </r>
  <r>
    <x v="48"/>
    <n v="26"/>
    <x v="1"/>
    <n v="719.18"/>
    <s v="2025-03-20"/>
    <n v="48"/>
    <n v="26"/>
    <n v="6"/>
    <x v="6"/>
    <n v="0"/>
    <n v="0"/>
    <n v="1"/>
    <n v="1"/>
    <n v="0"/>
    <n v="208"/>
    <x v="1"/>
    <n v="26.666666666666668"/>
    <x v="1"/>
    <n v="210"/>
  </r>
  <r>
    <x v="49"/>
    <n v="36"/>
    <x v="1"/>
    <n v="684.76"/>
    <s v="2025-03-10"/>
    <n v="52"/>
    <n v="63"/>
    <n v="50"/>
    <x v="7"/>
    <n v="0"/>
    <n v="1"/>
    <n v="1"/>
    <n v="1"/>
    <n v="1"/>
    <n v="218"/>
    <x v="1"/>
    <n v="55"/>
    <x v="0"/>
    <n v="222"/>
  </r>
  <r>
    <x v="50"/>
    <n v="60"/>
    <x v="1"/>
    <n v="670.79"/>
    <s v="2024-11-20"/>
    <n v="10"/>
    <n v="15"/>
    <n v="37"/>
    <x v="6"/>
    <n v="0"/>
    <n v="0"/>
    <n v="1"/>
    <n v="1"/>
    <n v="0"/>
    <n v="328"/>
    <x v="1"/>
    <n v="20.666666666666668"/>
    <x v="2"/>
    <n v="330"/>
  </r>
  <r>
    <x v="51"/>
    <n v="67"/>
    <x v="1"/>
    <n v="661.88"/>
    <s v="2024-07-15"/>
    <n v="88"/>
    <n v="93"/>
    <n v="26"/>
    <x v="8"/>
    <n v="1"/>
    <n v="0"/>
    <n v="0"/>
    <n v="0"/>
    <n v="0"/>
    <n v="456"/>
    <x v="0"/>
    <n v="69"/>
    <x v="0"/>
    <n v="457"/>
  </r>
  <r>
    <x v="52"/>
    <n v="30"/>
    <x v="1"/>
    <n v="656.16"/>
    <s v="2025-01-03"/>
    <n v="81"/>
    <n v="14"/>
    <n v="34"/>
    <x v="7"/>
    <n v="0"/>
    <n v="1"/>
    <n v="1"/>
    <n v="1"/>
    <n v="1"/>
    <n v="284"/>
    <x v="1"/>
    <n v="43"/>
    <x v="1"/>
    <n v="288"/>
  </r>
  <r>
    <x v="53"/>
    <n v="44"/>
    <x v="0"/>
    <n v="654.67999999999995"/>
    <s v="2025-04-24"/>
    <n v="71"/>
    <n v="56"/>
    <n v="4"/>
    <x v="6"/>
    <n v="0"/>
    <n v="1"/>
    <n v="0"/>
    <n v="1"/>
    <n v="1"/>
    <n v="173"/>
    <x v="2"/>
    <n v="43.666666666666664"/>
    <x v="1"/>
    <n v="176"/>
  </r>
  <r>
    <x v="54"/>
    <n v="25"/>
    <x v="1"/>
    <n v="652.51"/>
    <s v="2024-07-22"/>
    <n v="69"/>
    <n v="82"/>
    <n v="11"/>
    <x v="7"/>
    <n v="1"/>
    <n v="1"/>
    <n v="0"/>
    <n v="0"/>
    <n v="0"/>
    <n v="449"/>
    <x v="0"/>
    <n v="54"/>
    <x v="0"/>
    <n v="451"/>
  </r>
  <r>
    <x v="55"/>
    <n v="64"/>
    <x v="0"/>
    <n v="646.54999999999995"/>
    <s v="2024-06-14"/>
    <n v="41"/>
    <n v="92"/>
    <n v="27"/>
    <x v="7"/>
    <n v="1"/>
    <n v="0"/>
    <n v="1"/>
    <n v="0"/>
    <n v="1"/>
    <n v="487"/>
    <x v="0"/>
    <n v="53.333333333333336"/>
    <x v="0"/>
    <n v="490"/>
  </r>
  <r>
    <x v="56"/>
    <n v="39"/>
    <x v="0"/>
    <n v="629.48"/>
    <s v="2024-08-23"/>
    <n v="74"/>
    <n v="60"/>
    <n v="21"/>
    <x v="0"/>
    <n v="0"/>
    <n v="0"/>
    <n v="0"/>
    <n v="1"/>
    <n v="0"/>
    <n v="417"/>
    <x v="0"/>
    <n v="51.666666666666664"/>
    <x v="0"/>
    <n v="418"/>
  </r>
  <r>
    <x v="57"/>
    <n v="37"/>
    <x v="1"/>
    <n v="628.12"/>
    <s v="2024-10-27"/>
    <n v="75"/>
    <n v="37"/>
    <n v="22"/>
    <x v="6"/>
    <n v="1"/>
    <n v="0"/>
    <n v="0"/>
    <n v="0"/>
    <n v="1"/>
    <n v="352"/>
    <x v="1"/>
    <n v="44.666666666666664"/>
    <x v="1"/>
    <n v="354"/>
  </r>
  <r>
    <x v="58"/>
    <n v="43"/>
    <x v="1"/>
    <n v="626.82000000000005"/>
    <s v="2025-05-06"/>
    <n v="38"/>
    <n v="46"/>
    <n v="2"/>
    <x v="6"/>
    <n v="0"/>
    <n v="1"/>
    <n v="1"/>
    <n v="0"/>
    <n v="1"/>
    <n v="161"/>
    <x v="2"/>
    <n v="28.666666666666668"/>
    <x v="1"/>
    <n v="164"/>
  </r>
  <r>
    <x v="59"/>
    <n v="43"/>
    <x v="0"/>
    <n v="624.96"/>
    <s v="2024-06-08"/>
    <n v="90"/>
    <n v="36"/>
    <n v="50"/>
    <x v="8"/>
    <n v="0"/>
    <n v="0"/>
    <n v="1"/>
    <n v="0"/>
    <n v="0"/>
    <n v="493"/>
    <x v="0"/>
    <n v="58.666666666666664"/>
    <x v="0"/>
    <n v="494"/>
  </r>
  <r>
    <x v="60"/>
    <n v="59"/>
    <x v="1"/>
    <n v="614.02"/>
    <s v="2025-05-26"/>
    <n v="92"/>
    <n v="57"/>
    <n v="13"/>
    <x v="0"/>
    <n v="1"/>
    <n v="1"/>
    <n v="1"/>
    <n v="0"/>
    <n v="0"/>
    <n v="141"/>
    <x v="2"/>
    <n v="54"/>
    <x v="0"/>
    <n v="144"/>
  </r>
  <r>
    <x v="61"/>
    <n v="18"/>
    <x v="1"/>
    <n v="599.74"/>
    <s v="2025-01-08"/>
    <n v="2"/>
    <n v="10"/>
    <n v="45"/>
    <x v="0"/>
    <n v="0"/>
    <n v="1"/>
    <n v="0"/>
    <n v="0"/>
    <n v="0"/>
    <n v="279"/>
    <x v="1"/>
    <n v="19"/>
    <x v="2"/>
    <n v="280"/>
  </r>
  <r>
    <x v="62"/>
    <n v="39"/>
    <x v="1"/>
    <n v="595.16"/>
    <s v="2024-11-10"/>
    <n v="36"/>
    <n v="69"/>
    <n v="30"/>
    <x v="2"/>
    <n v="1"/>
    <n v="0"/>
    <n v="0"/>
    <n v="1"/>
    <n v="1"/>
    <n v="338"/>
    <x v="1"/>
    <n v="45"/>
    <x v="1"/>
    <n v="341"/>
  </r>
  <r>
    <x v="63"/>
    <n v="60"/>
    <x v="1"/>
    <n v="558.63"/>
    <s v="2025-02-17"/>
    <n v="28"/>
    <n v="69"/>
    <n v="40"/>
    <x v="0"/>
    <n v="0"/>
    <n v="0"/>
    <n v="0"/>
    <n v="1"/>
    <n v="1"/>
    <n v="239"/>
    <x v="1"/>
    <n v="45.666666666666664"/>
    <x v="1"/>
    <n v="241"/>
  </r>
  <r>
    <x v="64"/>
    <n v="51"/>
    <x v="0"/>
    <n v="539.24"/>
    <s v="2024-11-12"/>
    <n v="80"/>
    <n v="71"/>
    <n v="8"/>
    <x v="5"/>
    <n v="0"/>
    <n v="0"/>
    <n v="0"/>
    <n v="0"/>
    <n v="1"/>
    <n v="336"/>
    <x v="1"/>
    <n v="53"/>
    <x v="0"/>
    <n v="337"/>
  </r>
  <r>
    <x v="65"/>
    <n v="66"/>
    <x v="1"/>
    <n v="497.99"/>
    <s v="2025-01-04"/>
    <n v="76"/>
    <n v="67"/>
    <n v="16"/>
    <x v="2"/>
    <n v="0"/>
    <n v="0"/>
    <n v="0"/>
    <n v="1"/>
    <n v="0"/>
    <n v="283"/>
    <x v="1"/>
    <n v="53"/>
    <x v="0"/>
    <n v="284"/>
  </r>
  <r>
    <x v="66"/>
    <n v="60"/>
    <x v="1"/>
    <n v="486.37"/>
    <s v="2025-05-26"/>
    <n v="27"/>
    <n v="6"/>
    <n v="26"/>
    <x v="8"/>
    <n v="0"/>
    <n v="1"/>
    <n v="1"/>
    <n v="1"/>
    <n v="0"/>
    <n v="141"/>
    <x v="2"/>
    <n v="19.666666666666668"/>
    <x v="2"/>
    <n v="144"/>
  </r>
  <r>
    <x v="67"/>
    <n v="35"/>
    <x v="0"/>
    <n v="479.36"/>
    <s v="2024-12-02"/>
    <n v="31"/>
    <n v="17"/>
    <n v="36"/>
    <x v="4"/>
    <n v="0"/>
    <n v="1"/>
    <n v="1"/>
    <n v="0"/>
    <n v="1"/>
    <n v="316"/>
    <x v="1"/>
    <n v="28"/>
    <x v="1"/>
    <n v="319"/>
  </r>
  <r>
    <x v="68"/>
    <n v="31"/>
    <x v="1"/>
    <n v="475.34"/>
    <s v="2024-06-27"/>
    <n v="30"/>
    <n v="28"/>
    <n v="36"/>
    <x v="7"/>
    <n v="0"/>
    <n v="0"/>
    <n v="1"/>
    <n v="1"/>
    <n v="1"/>
    <n v="474"/>
    <x v="0"/>
    <n v="31.333333333333332"/>
    <x v="1"/>
    <n v="477"/>
  </r>
  <r>
    <x v="69"/>
    <n v="23"/>
    <x v="0"/>
    <n v="449.87"/>
    <s v="2025-05-21"/>
    <n v="18"/>
    <n v="85"/>
    <n v="12"/>
    <x v="0"/>
    <n v="1"/>
    <n v="0"/>
    <n v="0"/>
    <n v="0"/>
    <n v="1"/>
    <n v="146"/>
    <x v="2"/>
    <n v="38.333333333333336"/>
    <x v="1"/>
    <n v="148"/>
  </r>
  <r>
    <x v="70"/>
    <n v="69"/>
    <x v="0"/>
    <n v="428.25"/>
    <s v="2025-04-25"/>
    <n v="67"/>
    <n v="4"/>
    <n v="31"/>
    <x v="5"/>
    <n v="1"/>
    <n v="1"/>
    <n v="1"/>
    <n v="0"/>
    <n v="0"/>
    <n v="172"/>
    <x v="2"/>
    <n v="34"/>
    <x v="1"/>
    <n v="175"/>
  </r>
  <r>
    <x v="71"/>
    <n v="25"/>
    <x v="1"/>
    <n v="415.83"/>
    <s v="2024-06-19"/>
    <n v="68"/>
    <n v="62"/>
    <n v="26"/>
    <x v="7"/>
    <n v="0"/>
    <n v="0"/>
    <n v="0"/>
    <n v="1"/>
    <n v="0"/>
    <n v="482"/>
    <x v="0"/>
    <n v="52"/>
    <x v="0"/>
    <n v="483"/>
  </r>
  <r>
    <x v="72"/>
    <n v="65"/>
    <x v="1"/>
    <n v="411.46"/>
    <s v="2025-03-11"/>
    <n v="1"/>
    <n v="41"/>
    <n v="6"/>
    <x v="7"/>
    <n v="1"/>
    <n v="0"/>
    <n v="0"/>
    <n v="1"/>
    <n v="0"/>
    <n v="217"/>
    <x v="1"/>
    <n v="16"/>
    <x v="2"/>
    <n v="219"/>
  </r>
  <r>
    <x v="73"/>
    <n v="19"/>
    <x v="0"/>
    <n v="408.58"/>
    <s v="2024-09-27"/>
    <n v="47"/>
    <n v="51"/>
    <n v="3"/>
    <x v="5"/>
    <n v="1"/>
    <n v="1"/>
    <n v="0"/>
    <n v="1"/>
    <n v="1"/>
    <n v="382"/>
    <x v="0"/>
    <n v="33.666666666666664"/>
    <x v="1"/>
    <n v="386"/>
  </r>
  <r>
    <x v="74"/>
    <n v="42"/>
    <x v="1"/>
    <n v="372.76"/>
    <s v="2025-01-22"/>
    <n v="55"/>
    <n v="4"/>
    <n v="21"/>
    <x v="9"/>
    <n v="1"/>
    <n v="1"/>
    <n v="1"/>
    <n v="0"/>
    <n v="0"/>
    <n v="265"/>
    <x v="1"/>
    <n v="26.666666666666668"/>
    <x v="1"/>
    <n v="268"/>
  </r>
  <r>
    <x v="75"/>
    <n v="34"/>
    <x v="0"/>
    <n v="371.86"/>
    <s v="2024-10-05"/>
    <n v="33"/>
    <n v="53"/>
    <n v="23"/>
    <x v="5"/>
    <n v="0"/>
    <n v="1"/>
    <n v="1"/>
    <n v="1"/>
    <n v="0"/>
    <n v="374"/>
    <x v="0"/>
    <n v="36.333333333333336"/>
    <x v="1"/>
    <n v="377"/>
  </r>
  <r>
    <x v="76"/>
    <n v="33"/>
    <x v="0"/>
    <n v="371.61"/>
    <s v="2024-05-30"/>
    <n v="46"/>
    <n v="53"/>
    <n v="50"/>
    <x v="0"/>
    <n v="1"/>
    <n v="1"/>
    <n v="0"/>
    <n v="1"/>
    <n v="1"/>
    <n v="502"/>
    <x v="0"/>
    <n v="49.666666666666664"/>
    <x v="1"/>
    <n v="506"/>
  </r>
  <r>
    <x v="77"/>
    <n v="35"/>
    <x v="1"/>
    <n v="370.57"/>
    <s v="2024-11-10"/>
    <n v="40"/>
    <n v="12"/>
    <n v="0"/>
    <x v="6"/>
    <n v="0"/>
    <n v="1"/>
    <n v="0"/>
    <n v="0"/>
    <n v="0"/>
    <n v="338"/>
    <x v="1"/>
    <n v="17.333333333333332"/>
    <x v="2"/>
    <n v="339"/>
  </r>
  <r>
    <x v="78"/>
    <n v="47"/>
    <x v="1"/>
    <n v="328.33"/>
    <s v="2025-04-23"/>
    <n v="90"/>
    <n v="41"/>
    <n v="33"/>
    <x v="8"/>
    <n v="1"/>
    <n v="1"/>
    <n v="0"/>
    <n v="1"/>
    <n v="0"/>
    <n v="174"/>
    <x v="2"/>
    <n v="54.666666666666664"/>
    <x v="0"/>
    <n v="177"/>
  </r>
  <r>
    <x v="79"/>
    <n v="25"/>
    <x v="1"/>
    <n v="324.75"/>
    <s v="2024-10-13"/>
    <n v="42"/>
    <n v="37"/>
    <n v="24"/>
    <x v="9"/>
    <n v="1"/>
    <n v="0"/>
    <n v="0"/>
    <n v="1"/>
    <n v="0"/>
    <n v="366"/>
    <x v="0"/>
    <n v="34.333333333333336"/>
    <x v="1"/>
    <n v="368"/>
  </r>
  <r>
    <x v="80"/>
    <n v="26"/>
    <x v="1"/>
    <n v="291.36"/>
    <s v="2024-09-01"/>
    <n v="25"/>
    <n v="20"/>
    <n v="50"/>
    <x v="4"/>
    <n v="1"/>
    <n v="1"/>
    <n v="1"/>
    <n v="0"/>
    <n v="0"/>
    <n v="408"/>
    <x v="0"/>
    <n v="31.666666666666668"/>
    <x v="1"/>
    <n v="411"/>
  </r>
  <r>
    <x v="81"/>
    <n v="37"/>
    <x v="0"/>
    <n v="269.94"/>
    <s v="2024-10-06"/>
    <n v="61"/>
    <n v="89"/>
    <n v="13"/>
    <x v="4"/>
    <n v="0"/>
    <n v="0"/>
    <n v="0"/>
    <n v="0"/>
    <n v="1"/>
    <n v="373"/>
    <x v="0"/>
    <n v="54.333333333333336"/>
    <x v="0"/>
    <n v="374"/>
  </r>
  <r>
    <x v="82"/>
    <n v="47"/>
    <x v="1"/>
    <n v="261.52"/>
    <s v="2024-08-10"/>
    <n v="100"/>
    <n v="3"/>
    <n v="4"/>
    <x v="3"/>
    <n v="0"/>
    <n v="0"/>
    <n v="1"/>
    <n v="0"/>
    <n v="0"/>
    <n v="430"/>
    <x v="0"/>
    <n v="35.666666666666664"/>
    <x v="1"/>
    <n v="431"/>
  </r>
  <r>
    <x v="83"/>
    <n v="54"/>
    <x v="1"/>
    <n v="258.17"/>
    <s v="2024-11-16"/>
    <n v="71"/>
    <n v="45"/>
    <n v="49"/>
    <x v="6"/>
    <n v="1"/>
    <n v="1"/>
    <n v="0"/>
    <n v="1"/>
    <n v="1"/>
    <n v="332"/>
    <x v="1"/>
    <n v="55"/>
    <x v="0"/>
    <n v="336"/>
  </r>
  <r>
    <x v="84"/>
    <n v="51"/>
    <x v="0"/>
    <n v="246.25"/>
    <s v="2025-04-11"/>
    <n v="69"/>
    <n v="85"/>
    <n v="46"/>
    <x v="1"/>
    <n v="1"/>
    <n v="1"/>
    <n v="1"/>
    <n v="0"/>
    <n v="1"/>
    <n v="186"/>
    <x v="1"/>
    <n v="66.666666666666671"/>
    <x v="0"/>
    <n v="190"/>
  </r>
  <r>
    <x v="85"/>
    <n v="24"/>
    <x v="0"/>
    <n v="243.23"/>
    <s v="2025-05-05"/>
    <n v="19"/>
    <n v="34"/>
    <n v="18"/>
    <x v="9"/>
    <n v="1"/>
    <n v="0"/>
    <n v="1"/>
    <n v="0"/>
    <n v="1"/>
    <n v="162"/>
    <x v="2"/>
    <n v="23.666666666666668"/>
    <x v="2"/>
    <n v="165"/>
  </r>
  <r>
    <x v="86"/>
    <n v="40"/>
    <x v="1"/>
    <n v="239.86"/>
    <s v="2024-09-17"/>
    <n v="35"/>
    <n v="43"/>
    <n v="38"/>
    <x v="3"/>
    <n v="1"/>
    <n v="0"/>
    <n v="1"/>
    <n v="0"/>
    <n v="1"/>
    <n v="392"/>
    <x v="0"/>
    <n v="38.666666666666664"/>
    <x v="1"/>
    <n v="395"/>
  </r>
  <r>
    <x v="87"/>
    <n v="28"/>
    <x v="1"/>
    <n v="231.17"/>
    <s v="2025-03-28"/>
    <n v="73"/>
    <n v="20"/>
    <n v="27"/>
    <x v="1"/>
    <n v="1"/>
    <n v="0"/>
    <n v="1"/>
    <n v="1"/>
    <n v="1"/>
    <n v="200"/>
    <x v="1"/>
    <n v="40"/>
    <x v="1"/>
    <n v="204"/>
  </r>
  <r>
    <x v="88"/>
    <n v="50"/>
    <x v="0"/>
    <n v="213.54"/>
    <s v="2024-10-13"/>
    <n v="16"/>
    <n v="14"/>
    <n v="29"/>
    <x v="9"/>
    <n v="1"/>
    <n v="1"/>
    <n v="0"/>
    <n v="0"/>
    <n v="0"/>
    <n v="366"/>
    <x v="0"/>
    <n v="19.666666666666668"/>
    <x v="2"/>
    <n v="368"/>
  </r>
  <r>
    <x v="89"/>
    <n v="32"/>
    <x v="0"/>
    <n v="210.26"/>
    <s v="2025-03-29"/>
    <n v="61"/>
    <n v="5"/>
    <n v="5"/>
    <x v="8"/>
    <n v="1"/>
    <n v="1"/>
    <n v="0"/>
    <n v="1"/>
    <n v="0"/>
    <n v="199"/>
    <x v="1"/>
    <n v="23.666666666666668"/>
    <x v="2"/>
    <n v="202"/>
  </r>
  <r>
    <x v="90"/>
    <n v="50"/>
    <x v="1"/>
    <n v="208.49"/>
    <s v="2024-09-23"/>
    <n v="44"/>
    <n v="33"/>
    <n v="25"/>
    <x v="4"/>
    <n v="1"/>
    <n v="1"/>
    <n v="0"/>
    <n v="1"/>
    <n v="0"/>
    <n v="386"/>
    <x v="0"/>
    <n v="34"/>
    <x v="1"/>
    <n v="389"/>
  </r>
  <r>
    <x v="91"/>
    <n v="46"/>
    <x v="1"/>
    <n v="182.68"/>
    <s v="2024-09-09"/>
    <n v="19"/>
    <n v="22"/>
    <n v="21"/>
    <x v="4"/>
    <n v="0"/>
    <n v="0"/>
    <n v="1"/>
    <n v="1"/>
    <n v="0"/>
    <n v="400"/>
    <x v="0"/>
    <n v="20.666666666666668"/>
    <x v="2"/>
    <n v="402"/>
  </r>
  <r>
    <x v="92"/>
    <n v="45"/>
    <x v="1"/>
    <n v="139.59"/>
    <s v="2024-06-27"/>
    <n v="96"/>
    <n v="17"/>
    <n v="35"/>
    <x v="9"/>
    <n v="0"/>
    <n v="1"/>
    <n v="1"/>
    <n v="0"/>
    <n v="0"/>
    <n v="474"/>
    <x v="0"/>
    <n v="49.333333333333336"/>
    <x v="1"/>
    <n v="476"/>
  </r>
  <r>
    <x v="93"/>
    <n v="29"/>
    <x v="0"/>
    <n v="101.36"/>
    <s v="2025-02-10"/>
    <n v="57"/>
    <n v="6"/>
    <n v="32"/>
    <x v="0"/>
    <n v="0"/>
    <n v="1"/>
    <n v="1"/>
    <n v="1"/>
    <n v="0"/>
    <n v="246"/>
    <x v="1"/>
    <n v="31.666666666666668"/>
    <x v="1"/>
    <n v="249"/>
  </r>
  <r>
    <x v="94"/>
    <n v="53"/>
    <x v="0"/>
    <n v="99.35"/>
    <s v="2025-04-10"/>
    <n v="64"/>
    <n v="79"/>
    <n v="6"/>
    <x v="4"/>
    <n v="1"/>
    <n v="1"/>
    <n v="1"/>
    <n v="1"/>
    <n v="0"/>
    <n v="187"/>
    <x v="1"/>
    <n v="49.666666666666664"/>
    <x v="1"/>
    <n v="191"/>
  </r>
  <r>
    <x v="95"/>
    <n v="20"/>
    <x v="1"/>
    <n v="95.14"/>
    <s v="2025-05-10"/>
    <n v="13"/>
    <n v="28"/>
    <n v="15"/>
    <x v="2"/>
    <n v="0"/>
    <n v="1"/>
    <n v="1"/>
    <n v="0"/>
    <n v="0"/>
    <n v="157"/>
    <x v="2"/>
    <n v="18.666666666666668"/>
    <x v="2"/>
    <n v="159"/>
  </r>
  <r>
    <x v="96"/>
    <n v="66"/>
    <x v="1"/>
    <n v="83.78"/>
    <s v="2024-09-12"/>
    <n v="77"/>
    <n v="47"/>
    <n v="11"/>
    <x v="3"/>
    <n v="0"/>
    <n v="0"/>
    <n v="1"/>
    <n v="0"/>
    <n v="0"/>
    <n v="397"/>
    <x v="0"/>
    <n v="45"/>
    <x v="1"/>
    <n v="398"/>
  </r>
  <r>
    <x v="97"/>
    <n v="54"/>
    <x v="1"/>
    <n v="82.13"/>
    <s v="2025-04-03"/>
    <n v="26"/>
    <n v="66"/>
    <n v="8"/>
    <x v="6"/>
    <n v="1"/>
    <n v="0"/>
    <n v="0"/>
    <n v="1"/>
    <n v="1"/>
    <n v="194"/>
    <x v="1"/>
    <n v="33.333333333333336"/>
    <x v="1"/>
    <n v="197"/>
  </r>
  <r>
    <x v="98"/>
    <n v="51"/>
    <x v="1"/>
    <n v="78.19"/>
    <s v="2025-01-20"/>
    <n v="2"/>
    <n v="56"/>
    <n v="17"/>
    <x v="7"/>
    <n v="0"/>
    <n v="0"/>
    <n v="1"/>
    <n v="1"/>
    <n v="1"/>
    <n v="267"/>
    <x v="1"/>
    <n v="25"/>
    <x v="2"/>
    <n v="270"/>
  </r>
  <r>
    <x v="99"/>
    <n v="20"/>
    <x v="0"/>
    <n v="50.34"/>
    <s v="2025-04-09"/>
    <n v="33"/>
    <n v="84"/>
    <n v="26"/>
    <x v="3"/>
    <n v="1"/>
    <n v="0"/>
    <n v="1"/>
    <n v="0"/>
    <n v="0"/>
    <n v="188"/>
    <x v="1"/>
    <n v="47.666666666666664"/>
    <x v="1"/>
    <n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5D040-26AB-424F-8D85-A0D47CF41066}" name="Tabella pivot1" cacheId="24" applyNumberFormats="0" applyBorderFormats="0" applyFontFormats="0" applyPatternFormats="0" applyAlignmentFormats="0" applyWidthHeightFormats="1" dataCaption="Valori" grandTotalCaption="Total" updatedVersion="8" minRefreshableVersion="3" useAutoFormatting="1" itemPrintTitles="1" createdVersion="8" indent="0" outline="1" outlineData="1" multipleFieldFilters="0" rowHeaderCaption="Gender">
  <location ref="B17:D20" firstHeaderRow="0" firstDataRow="1" firstDataCol="1"/>
  <pivotFields count="19">
    <pivotField dataField="1" showAll="0">
      <items count="101">
        <item x="88"/>
        <item x="68"/>
        <item x="0"/>
        <item x="28"/>
        <item x="30"/>
        <item x="95"/>
        <item x="22"/>
        <item x="79"/>
        <item x="66"/>
        <item x="40"/>
        <item x="46"/>
        <item x="20"/>
        <item x="47"/>
        <item x="86"/>
        <item x="97"/>
        <item x="11"/>
        <item x="14"/>
        <item x="69"/>
        <item x="61"/>
        <item x="38"/>
        <item x="6"/>
        <item x="5"/>
        <item x="90"/>
        <item x="56"/>
        <item x="54"/>
        <item x="7"/>
        <item x="13"/>
        <item x="34"/>
        <item x="94"/>
        <item x="67"/>
        <item x="50"/>
        <item x="72"/>
        <item x="98"/>
        <item x="31"/>
        <item x="81"/>
        <item x="41"/>
        <item x="74"/>
        <item x="36"/>
        <item x="35"/>
        <item x="87"/>
        <item x="43"/>
        <item x="64"/>
        <item x="77"/>
        <item x="73"/>
        <item x="60"/>
        <item x="53"/>
        <item x="89"/>
        <item x="33"/>
        <item x="2"/>
        <item x="25"/>
        <item x="59"/>
        <item x="83"/>
        <item x="48"/>
        <item x="62"/>
        <item x="39"/>
        <item x="26"/>
        <item x="80"/>
        <item x="84"/>
        <item x="23"/>
        <item x="32"/>
        <item x="15"/>
        <item x="92"/>
        <item x="16"/>
        <item x="55"/>
        <item x="10"/>
        <item x="1"/>
        <item x="37"/>
        <item x="49"/>
        <item x="42"/>
        <item x="18"/>
        <item x="52"/>
        <item x="82"/>
        <item x="9"/>
        <item x="8"/>
        <item x="65"/>
        <item x="12"/>
        <item x="85"/>
        <item x="91"/>
        <item x="58"/>
        <item x="21"/>
        <item x="57"/>
        <item x="70"/>
        <item x="63"/>
        <item x="44"/>
        <item x="76"/>
        <item x="96"/>
        <item x="29"/>
        <item x="78"/>
        <item x="17"/>
        <item x="24"/>
        <item x="45"/>
        <item x="71"/>
        <item x="27"/>
        <item x="93"/>
        <item x="19"/>
        <item x="75"/>
        <item x="51"/>
        <item x="4"/>
        <item x="99"/>
        <item x="3"/>
        <item t="default"/>
      </items>
    </pivotField>
    <pivotField numFmtId="1" showAll="0"/>
    <pivotField axis="axisRow" showAll="0">
      <items count="3">
        <item x="0"/>
        <item x="1"/>
        <item t="default"/>
      </items>
    </pivotField>
    <pivotField dataField="1" numFmtId="2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showAll="0"/>
    <pivotField numFmtI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lient ID Sum" fld="0" subtotal="count" baseField="0" baseItem="0"/>
    <dataField name="Total Spending Avg. (€)" fld="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DDC18-338A-2048-B8E5-45A46E77F7C1}" name="Tabella pivot2" cacheId="24" applyNumberFormats="0" applyBorderFormats="0" applyFontFormats="0" applyPatternFormats="0" applyAlignmentFormats="0" applyWidthHeightFormats="1" dataCaption="Valori" updatedVersion="8" minRefreshableVersion="3" useAutoFormatting="1" colGrandTotals="0" itemPrintTitles="1" createdVersion="8" indent="0" outline="1" outlineData="1" multipleFieldFilters="0" chartFormat="13" rowHeaderCaption="Recency Category">
  <location ref="B3:D7" firstHeaderRow="0" firstDataRow="1" firstDataCol="1"/>
  <pivotFields count="19">
    <pivotField showAll="0"/>
    <pivotField numFmtId="1" showAll="0"/>
    <pivotField showAll="0"/>
    <pivotField dataField="1" numFmtId="2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4">
        <item x="0"/>
        <item x="1"/>
        <item x="2"/>
        <item t="default"/>
      </items>
    </pivotField>
    <pivotField dataField="1" numFmtId="1" showAll="0"/>
    <pivotField showAll="0"/>
    <pivotField numFmtId="1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pending Avg. (€) " fld="3" subtotal="average" baseField="0" baseItem="0" numFmtId="2"/>
    <dataField name="Engagement Index Avg." fld="16" subtotal="average" baseField="0" baseItem="0" numFmtId="1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dataOnly="0" labelOnly="1" fieldPosition="0">
        <references count="1">
          <reference field="15" count="0"/>
        </references>
      </pivotArea>
    </format>
    <format dxfId="4">
      <pivotArea dataOnly="0" labelOnly="1" grandRow="1" outline="0" fieldPosition="0"/>
    </format>
    <format dxfId="3">
      <pivotArea field="15" type="button" dataOnly="0" labelOnly="1" outline="0" axis="axisRow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E33E8-89BA-CD4B-AE1A-09A07E515943}" name="Tabella pivot3" cacheId="2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 rowHeaderCaption="Engagement_level">
  <location ref="B3:D7" firstHeaderRow="0" firstDataRow="1" firstDataCol="1"/>
  <pivotFields count="19">
    <pivotField showAll="0"/>
    <pivotField numFmtId="1" showAll="0"/>
    <pivotField showAll="0"/>
    <pivotField dataField="1" numFmtId="2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numFmtId="1" showAll="0"/>
    <pivotField axis="axisRow" showAll="0">
      <items count="4">
        <item x="0"/>
        <item x="2"/>
        <item x="1"/>
        <item t="default"/>
      </items>
    </pivotField>
    <pivotField numFmtId="1"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pending Avg. (€)" fld="3" subtotal="average" baseField="0" baseItem="0" numFmtId="2"/>
    <dataField name="Engagement Index Avg." fld="16" subtotal="average" baseField="0" baseItem="0" numFmtId="1"/>
  </dataFields>
  <formats count="2">
    <format dxfId="2">
      <pivotArea field="17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6DB0B-C12C-764A-81D5-40F68FCD9953}" name="Tabella pivot4" cacheId="2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 rowHeaderCaption="Recency Category">
  <location ref="B3:G7" firstHeaderRow="0" firstDataRow="1" firstDataCol="1"/>
  <pivotFields count="19">
    <pivotField showAll="0"/>
    <pivotField numFmtId="1" showAll="0"/>
    <pivotField showAll="0"/>
    <pivotField numFmtId="2" showAll="0"/>
    <pivotField showAll="0"/>
    <pivotField numFmtId="1" showAll="0"/>
    <pivotField numFmtId="1" showAll="0"/>
    <pivotField numFmtId="1"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axis="axisRow" showAll="0">
      <items count="4">
        <item x="0"/>
        <item x="1"/>
        <item x="2"/>
        <item t="default"/>
      </items>
    </pivotField>
    <pivotField numFmtId="1" showAll="0"/>
    <pivotField showAll="0"/>
    <pivotField numFmtId="1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Laces Sum" fld="13" baseField="0" baseItem="0" numFmtId="1"/>
    <dataField name="Lining  Sum" fld="12" baseField="0" baseItem="0" numFmtId="1"/>
    <dataField name="Sole  Sum" fld="11" baseField="0" baseItem="0" numFmtId="1"/>
    <dataField name="Insole  Sum" fld="10" baseField="0" baseItem="0" numFmtId="1"/>
    <dataField name="Upper  Sum" fld="9" baseField="0" baseItem="0" numFmtId="1"/>
  </dataFields>
  <formats count="1">
    <format dxfId="0">
      <pivotArea dataOnly="0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65C5C-A34A-A748-9BF7-17788D00B9CB}" name="Tabella pivot6" cacheId="2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 rowHeaderCaption="Feedback &amp; Reviews">
  <location ref="B3:D14" firstHeaderRow="0" firstDataRow="1" firstDataCol="1"/>
  <pivotFields count="19">
    <pivotField showAll="0"/>
    <pivotField numFmtId="1" showAll="0"/>
    <pivotField showAll="0"/>
    <pivotField dataField="1" numFmtId="2" showAll="0"/>
    <pivotField showAll="0"/>
    <pivotField numFmtId="1" showAll="0"/>
    <pivotField numFmtId="1" showAll="0"/>
    <pivotField numFmtId="1" showAll="0"/>
    <pivotField axis="axisRow" showAll="0">
      <items count="11">
        <item x="6"/>
        <item x="0"/>
        <item x="7"/>
        <item x="5"/>
        <item x="8"/>
        <item x="4"/>
        <item x="9"/>
        <item x="1"/>
        <item x="2"/>
        <item x="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numFmtId="1" showAll="0"/>
    <pivotField showAll="0"/>
    <pivotField numFmtId="1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pending Avg. (€)" fld="3" subtotal="average" baseField="0" baseItem="0" numFmtId="2"/>
    <dataField name="Engagement Index Avg." fld="16" subtotal="average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365EC4-7587-9240-AB0C-EE5556DAC551}" name="Dataset" displayName="Dataset" ref="B3:T103" totalsRowShown="0" headerRowDxfId="30" dataDxfId="29" tableBorderDxfId="28">
  <autoFilter ref="B3:T103" xr:uid="{FE365EC4-7587-9240-AB0C-EE5556DAC551}"/>
  <tableColumns count="19">
    <tableColumn id="1" xr3:uid="{3632B4AD-5C40-CD49-A10E-B5C887901FA4}" name="Client ID" dataDxfId="27"/>
    <tableColumn id="2" xr3:uid="{EA8FA5FE-063F-AA4C-B84D-31AF4505D5F7}" name="Age" dataDxfId="26"/>
    <tableColumn id="3" xr3:uid="{BAF9C93D-99EF-CD48-8A84-63E7794A097E}" name="Gender" dataDxfId="25"/>
    <tableColumn id="4" xr3:uid="{72064622-DBF6-1548-8BD1-CAC3D393AEFB}" name="Total Spending (€)" dataDxfId="24"/>
    <tableColumn id="5" xr3:uid="{73DD9C65-42FB-734F-91E8-E2FBC1203A06}" name="Last Purchase Date" dataDxfId="23"/>
    <tableColumn id="6" xr3:uid="{BF6FFDD1-FFE7-714D-93F6-2128C728E9C7}" name="Email Opening" dataDxfId="22"/>
    <tableColumn id="7" xr3:uid="{78346F0C-93BB-0945-A991-4313C657B964}" name="Links Clicked" dataDxfId="21"/>
    <tableColumn id="8" xr3:uid="{651F7FB9-DB16-2E47-BC52-19BE9BF0397B}" name="Other Interactions" dataDxfId="20"/>
    <tableColumn id="9" xr3:uid="{79327BBB-8207-0246-ADD3-FB04865F76C2}" name="Feedback &amp; Reviews" dataDxfId="19"/>
    <tableColumn id="10" xr3:uid="{FC3C5580-6369-7F4D-B3BF-86265034BACA}" name="Upper" dataDxfId="18"/>
    <tableColumn id="11" xr3:uid="{932D7D58-C4BE-3C43-BA35-26CAE3615FC5}" name="Insole" dataDxfId="17"/>
    <tableColumn id="12" xr3:uid="{5FFBC4C4-20DE-9C41-88DE-F1ADC85E2B8C}" name="Sole" dataDxfId="16"/>
    <tableColumn id="13" xr3:uid="{81F6AAD9-73A8-974A-9185-344A0068338D}" name="Lining" dataDxfId="15"/>
    <tableColumn id="14" xr3:uid="{8C71862F-1675-D04C-BA3F-FAC9EF28883E}" name="Laces" dataDxfId="14"/>
    <tableColumn id="15" xr3:uid="{60265E33-6011-9E49-B2CA-E9C15E1F3E5D}" name="Recency (days)" dataDxfId="13">
      <calculatedColumnFormula>TODAY()-F4</calculatedColumnFormula>
    </tableColumn>
    <tableColumn id="16" xr3:uid="{7F0D52CD-2364-474B-990C-B79307A6B2B5}" name="Recency Categories" dataDxfId="12">
      <calculatedColumnFormula>IF(P4&lt;=180,"Recent",IF(P4&lt;=360,"Intermediate","Dormant"))</calculatedColumnFormula>
    </tableColumn>
    <tableColumn id="17" xr3:uid="{EF712487-E374-DE4E-9549-6DB933F1FDA3}" name="Engagement Index" dataDxfId="11">
      <calculatedColumnFormula>AVERAGE(G4,H4,I4)</calculatedColumnFormula>
    </tableColumn>
    <tableColumn id="18" xr3:uid="{20912462-FE75-6344-A9FF-E59AF1318735}" name="Engagement Level" dataDxfId="10">
      <calculatedColumnFormula>IF(R4&lt;=25,"Low",IF(R4&lt;=50,"Medium","High"))</calculatedColumnFormula>
    </tableColumn>
    <tableColumn id="19" xr3:uid="{6D096F90-EBC5-7D44-8510-953ED9160A2D}" name="Total Components Purchased" dataDxfId="9">
      <calculatedColumnFormula>SUM(K4,L4,M4,N4,O4,P4)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1C6D-146D-2E46-B210-8F9E1355752F}">
  <dimension ref="B3:T103"/>
  <sheetViews>
    <sheetView tabSelected="1" zoomScale="50" zoomScaleNormal="50" workbookViewId="0"/>
  </sheetViews>
  <sheetFormatPr baseColWidth="10" defaultRowHeight="15" x14ac:dyDescent="0.2"/>
  <cols>
    <col min="2" max="2" width="10.33203125" bestFit="1" customWidth="1"/>
    <col min="3" max="3" width="6.6640625" bestFit="1" customWidth="1"/>
    <col min="4" max="4" width="9.5" bestFit="1" customWidth="1"/>
    <col min="5" max="5" width="17.5" bestFit="1" customWidth="1"/>
    <col min="6" max="6" width="18" bestFit="1" customWidth="1"/>
    <col min="7" max="7" width="14.6640625" bestFit="1" customWidth="1"/>
    <col min="8" max="8" width="13.5" bestFit="1" customWidth="1"/>
    <col min="9" max="9" width="17.83203125" bestFit="1" customWidth="1"/>
    <col min="10" max="10" width="33.5" bestFit="1" customWidth="1"/>
    <col min="11" max="11" width="8.5" bestFit="1" customWidth="1"/>
    <col min="12" max="12" width="8.33203125" bestFit="1" customWidth="1"/>
    <col min="13" max="13" width="7" bestFit="1" customWidth="1"/>
    <col min="14" max="14" width="8.33203125" bestFit="1" customWidth="1"/>
    <col min="15" max="15" width="7.83203125" bestFit="1" customWidth="1"/>
    <col min="16" max="16" width="14.83203125" bestFit="1" customWidth="1"/>
    <col min="17" max="17" width="18.83203125" bestFit="1" customWidth="1"/>
    <col min="18" max="18" width="17.83203125" bestFit="1" customWidth="1"/>
    <col min="19" max="19" width="17.6640625" bestFit="1" customWidth="1"/>
    <col min="20" max="20" width="26.33203125" bestFit="1" customWidth="1"/>
  </cols>
  <sheetData>
    <row r="3" spans="2:20" x14ac:dyDescent="0.2">
      <c r="B3" s="33" t="s">
        <v>197</v>
      </c>
      <c r="C3" s="33" t="s">
        <v>198</v>
      </c>
      <c r="D3" s="33" t="s">
        <v>199</v>
      </c>
      <c r="E3" s="33" t="s">
        <v>200</v>
      </c>
      <c r="F3" s="33" t="s">
        <v>201</v>
      </c>
      <c r="G3" s="33" t="s">
        <v>202</v>
      </c>
      <c r="H3" s="33" t="s">
        <v>203</v>
      </c>
      <c r="I3" s="33" t="s">
        <v>204</v>
      </c>
      <c r="J3" s="33" t="s">
        <v>205</v>
      </c>
      <c r="K3" s="33" t="s">
        <v>206</v>
      </c>
      <c r="L3" s="33" t="s">
        <v>207</v>
      </c>
      <c r="M3" s="33" t="s">
        <v>208</v>
      </c>
      <c r="N3" s="33" t="s">
        <v>209</v>
      </c>
      <c r="O3" s="33" t="s">
        <v>210</v>
      </c>
      <c r="P3" s="34" t="s">
        <v>211</v>
      </c>
      <c r="Q3" s="34" t="s">
        <v>215</v>
      </c>
      <c r="R3" s="34" t="s">
        <v>214</v>
      </c>
      <c r="S3" s="34" t="s">
        <v>213</v>
      </c>
      <c r="T3" s="34" t="s">
        <v>212</v>
      </c>
    </row>
    <row r="4" spans="2:20" x14ac:dyDescent="0.2">
      <c r="B4" s="28" t="s">
        <v>6</v>
      </c>
      <c r="C4" s="29">
        <v>38</v>
      </c>
      <c r="D4" s="30" t="s">
        <v>1</v>
      </c>
      <c r="E4" s="31">
        <v>1470.86</v>
      </c>
      <c r="F4" s="32" t="s">
        <v>7</v>
      </c>
      <c r="G4" s="29">
        <v>37</v>
      </c>
      <c r="H4" s="29">
        <v>90</v>
      </c>
      <c r="I4" s="29">
        <v>31</v>
      </c>
      <c r="J4" s="30" t="s">
        <v>216</v>
      </c>
      <c r="K4" s="29">
        <v>0</v>
      </c>
      <c r="L4" s="29">
        <v>1</v>
      </c>
      <c r="M4" s="29">
        <v>1</v>
      </c>
      <c r="N4" s="29">
        <v>1</v>
      </c>
      <c r="O4" s="29">
        <v>0</v>
      </c>
      <c r="P4" s="29">
        <f t="shared" ref="P4:P35" ca="1" si="0">TODAY()-F4</f>
        <v>459</v>
      </c>
      <c r="Q4" s="29" t="str">
        <f t="shared" ref="Q4:Q35" ca="1" si="1">IF(P4&lt;=180,"Recent",IF(P4&lt;=360,"Intermediate","Dormant"))</f>
        <v>Dormant</v>
      </c>
      <c r="R4" s="29">
        <f t="shared" ref="R4:R35" si="2">AVERAGE(G4,H4,I4)</f>
        <v>52.666666666666664</v>
      </c>
      <c r="S4" s="29" t="str">
        <f t="shared" ref="S4:S35" si="3">IF(R4&lt;=25,"Low",IF(R4&lt;=50,"Medium","High"))</f>
        <v>High</v>
      </c>
      <c r="T4" s="29">
        <f t="shared" ref="T4:T35" ca="1" si="4">SUM(K4,L4,M4,N4,O4,P4)</f>
        <v>462</v>
      </c>
    </row>
    <row r="5" spans="2:20" x14ac:dyDescent="0.2">
      <c r="B5" s="21" t="s">
        <v>124</v>
      </c>
      <c r="C5" s="16">
        <v>40</v>
      </c>
      <c r="D5" s="17" t="s">
        <v>1</v>
      </c>
      <c r="E5" s="18">
        <v>1467.85</v>
      </c>
      <c r="F5" s="19" t="s">
        <v>125</v>
      </c>
      <c r="G5" s="16">
        <v>73</v>
      </c>
      <c r="H5" s="16">
        <v>100</v>
      </c>
      <c r="I5" s="16">
        <v>30</v>
      </c>
      <c r="J5" s="17" t="s">
        <v>216</v>
      </c>
      <c r="K5" s="16">
        <v>1</v>
      </c>
      <c r="L5" s="16">
        <v>1</v>
      </c>
      <c r="M5" s="16">
        <v>1</v>
      </c>
      <c r="N5" s="16">
        <v>0</v>
      </c>
      <c r="O5" s="16">
        <v>1</v>
      </c>
      <c r="P5" s="16">
        <f t="shared" ca="1" si="0"/>
        <v>230</v>
      </c>
      <c r="Q5" s="16" t="str">
        <f t="shared" ca="1" si="1"/>
        <v>Intermediate</v>
      </c>
      <c r="R5" s="16">
        <f t="shared" si="2"/>
        <v>67.666666666666671</v>
      </c>
      <c r="S5" s="16" t="str">
        <f t="shared" si="3"/>
        <v>High</v>
      </c>
      <c r="T5" s="16">
        <f t="shared" ca="1" si="4"/>
        <v>234</v>
      </c>
    </row>
    <row r="6" spans="2:20" x14ac:dyDescent="0.2">
      <c r="B6" s="20" t="s">
        <v>96</v>
      </c>
      <c r="C6" s="12">
        <v>56</v>
      </c>
      <c r="D6" s="13" t="s">
        <v>1</v>
      </c>
      <c r="E6" s="14">
        <v>1437.37</v>
      </c>
      <c r="F6" s="15" t="s">
        <v>97</v>
      </c>
      <c r="G6" s="12">
        <v>7</v>
      </c>
      <c r="H6" s="12">
        <v>89</v>
      </c>
      <c r="I6" s="12">
        <v>17</v>
      </c>
      <c r="J6" s="13" t="s">
        <v>224</v>
      </c>
      <c r="K6" s="12">
        <v>0</v>
      </c>
      <c r="L6" s="12">
        <v>1</v>
      </c>
      <c r="M6" s="12">
        <v>1</v>
      </c>
      <c r="N6" s="12">
        <v>1</v>
      </c>
      <c r="O6" s="12">
        <v>0</v>
      </c>
      <c r="P6" s="12">
        <f t="shared" ca="1" si="0"/>
        <v>175</v>
      </c>
      <c r="Q6" s="12" t="str">
        <f t="shared" ca="1" si="1"/>
        <v>Recent</v>
      </c>
      <c r="R6" s="12">
        <f t="shared" si="2"/>
        <v>37.666666666666664</v>
      </c>
      <c r="S6" s="12" t="str">
        <f t="shared" si="3"/>
        <v>Medium</v>
      </c>
      <c r="T6" s="12">
        <f t="shared" ca="1" si="4"/>
        <v>178</v>
      </c>
    </row>
    <row r="7" spans="2:20" x14ac:dyDescent="0.2">
      <c r="B7" s="21" t="s">
        <v>187</v>
      </c>
      <c r="C7" s="16">
        <v>56</v>
      </c>
      <c r="D7" s="17" t="s">
        <v>4</v>
      </c>
      <c r="E7" s="18">
        <v>1408.34</v>
      </c>
      <c r="F7" s="19" t="s">
        <v>188</v>
      </c>
      <c r="G7" s="16">
        <v>69</v>
      </c>
      <c r="H7" s="16">
        <v>7</v>
      </c>
      <c r="I7" s="16">
        <v>44</v>
      </c>
      <c r="J7" s="17" t="s">
        <v>217</v>
      </c>
      <c r="K7" s="16">
        <v>0</v>
      </c>
      <c r="L7" s="16">
        <v>0</v>
      </c>
      <c r="M7" s="16">
        <v>1</v>
      </c>
      <c r="N7" s="16">
        <v>0</v>
      </c>
      <c r="O7" s="16">
        <v>0</v>
      </c>
      <c r="P7" s="16">
        <f t="shared" ca="1" si="0"/>
        <v>394</v>
      </c>
      <c r="Q7" s="16" t="str">
        <f t="shared" ca="1" si="1"/>
        <v>Dormant</v>
      </c>
      <c r="R7" s="16">
        <f t="shared" si="2"/>
        <v>40</v>
      </c>
      <c r="S7" s="16" t="str">
        <f t="shared" si="3"/>
        <v>Medium</v>
      </c>
      <c r="T7" s="16">
        <f t="shared" ca="1" si="4"/>
        <v>395</v>
      </c>
    </row>
    <row r="8" spans="2:20" x14ac:dyDescent="0.2">
      <c r="B8" s="20" t="s">
        <v>183</v>
      </c>
      <c r="C8" s="12">
        <v>57</v>
      </c>
      <c r="D8" s="13" t="s">
        <v>4</v>
      </c>
      <c r="E8" s="14">
        <v>1375.18</v>
      </c>
      <c r="F8" s="15" t="s">
        <v>184</v>
      </c>
      <c r="G8" s="12">
        <v>37</v>
      </c>
      <c r="H8" s="12">
        <v>68</v>
      </c>
      <c r="I8" s="12">
        <v>43</v>
      </c>
      <c r="J8" s="13" t="s">
        <v>216</v>
      </c>
      <c r="K8" s="12">
        <v>0</v>
      </c>
      <c r="L8" s="12">
        <v>1</v>
      </c>
      <c r="M8" s="12">
        <v>0</v>
      </c>
      <c r="N8" s="12">
        <v>0</v>
      </c>
      <c r="O8" s="12">
        <v>1</v>
      </c>
      <c r="P8" s="12">
        <f t="shared" ca="1" si="0"/>
        <v>466</v>
      </c>
      <c r="Q8" s="12" t="str">
        <f t="shared" ca="1" si="1"/>
        <v>Dormant</v>
      </c>
      <c r="R8" s="12">
        <f t="shared" si="2"/>
        <v>49.333333333333336</v>
      </c>
      <c r="S8" s="12" t="str">
        <f t="shared" si="3"/>
        <v>Medium</v>
      </c>
      <c r="T8" s="12">
        <f t="shared" ca="1" si="4"/>
        <v>468</v>
      </c>
    </row>
    <row r="9" spans="2:20" x14ac:dyDescent="0.2">
      <c r="B9" s="21" t="s">
        <v>43</v>
      </c>
      <c r="C9" s="16">
        <v>25</v>
      </c>
      <c r="D9" s="17" t="s">
        <v>4</v>
      </c>
      <c r="E9" s="18">
        <v>1367.4</v>
      </c>
      <c r="F9" s="19" t="s">
        <v>44</v>
      </c>
      <c r="G9" s="16">
        <v>62</v>
      </c>
      <c r="H9" s="16">
        <v>89</v>
      </c>
      <c r="I9" s="16">
        <v>48</v>
      </c>
      <c r="J9" s="17" t="s">
        <v>218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f t="shared" ca="1" si="0"/>
        <v>500</v>
      </c>
      <c r="Q9" s="16" t="str">
        <f t="shared" ca="1" si="1"/>
        <v>Dormant</v>
      </c>
      <c r="R9" s="16">
        <f t="shared" si="2"/>
        <v>66.333333333333329</v>
      </c>
      <c r="S9" s="16" t="str">
        <f t="shared" si="3"/>
        <v>High</v>
      </c>
      <c r="T9" s="16">
        <f t="shared" ca="1" si="4"/>
        <v>501</v>
      </c>
    </row>
    <row r="10" spans="2:20" x14ac:dyDescent="0.2">
      <c r="B10" s="20" t="s">
        <v>41</v>
      </c>
      <c r="C10" s="12">
        <v>20</v>
      </c>
      <c r="D10" s="13" t="s">
        <v>1</v>
      </c>
      <c r="E10" s="14">
        <v>1358.22</v>
      </c>
      <c r="F10" s="15" t="s">
        <v>42</v>
      </c>
      <c r="G10" s="12">
        <v>74</v>
      </c>
      <c r="H10" s="12">
        <v>45</v>
      </c>
      <c r="I10" s="12">
        <v>48</v>
      </c>
      <c r="J10" s="13" t="s">
        <v>219</v>
      </c>
      <c r="K10" s="12">
        <v>1</v>
      </c>
      <c r="L10" s="12">
        <v>1</v>
      </c>
      <c r="M10" s="12">
        <v>1</v>
      </c>
      <c r="N10" s="12">
        <v>0</v>
      </c>
      <c r="O10" s="12">
        <v>1</v>
      </c>
      <c r="P10" s="12">
        <f t="shared" ca="1" si="0"/>
        <v>267</v>
      </c>
      <c r="Q10" s="12" t="str">
        <f t="shared" ca="1" si="1"/>
        <v>Intermediate</v>
      </c>
      <c r="R10" s="12">
        <f t="shared" si="2"/>
        <v>55.666666666666664</v>
      </c>
      <c r="S10" s="12" t="str">
        <f t="shared" si="3"/>
        <v>High</v>
      </c>
      <c r="T10" s="12">
        <f t="shared" ca="1" si="4"/>
        <v>271</v>
      </c>
    </row>
    <row r="11" spans="2:20" x14ac:dyDescent="0.2">
      <c r="B11" s="21" t="s">
        <v>51</v>
      </c>
      <c r="C11" s="16">
        <v>43</v>
      </c>
      <c r="D11" s="17" t="s">
        <v>1</v>
      </c>
      <c r="E11" s="18">
        <v>1352.79</v>
      </c>
      <c r="F11" s="19" t="s">
        <v>52</v>
      </c>
      <c r="G11" s="16">
        <v>48</v>
      </c>
      <c r="H11" s="16">
        <v>97</v>
      </c>
      <c r="I11" s="16">
        <v>30</v>
      </c>
      <c r="J11" s="17" t="s">
        <v>218</v>
      </c>
      <c r="K11" s="16">
        <v>1</v>
      </c>
      <c r="L11" s="16">
        <v>1</v>
      </c>
      <c r="M11" s="16">
        <v>1</v>
      </c>
      <c r="N11" s="16">
        <v>0</v>
      </c>
      <c r="O11" s="16">
        <v>0</v>
      </c>
      <c r="P11" s="16">
        <f t="shared" ca="1" si="0"/>
        <v>300</v>
      </c>
      <c r="Q11" s="16" t="str">
        <f t="shared" ca="1" si="1"/>
        <v>Intermediate</v>
      </c>
      <c r="R11" s="16">
        <f t="shared" si="2"/>
        <v>58.333333333333336</v>
      </c>
      <c r="S11" s="16" t="str">
        <f t="shared" si="3"/>
        <v>High</v>
      </c>
      <c r="T11" s="16">
        <f t="shared" ca="1" si="4"/>
        <v>303</v>
      </c>
    </row>
    <row r="12" spans="2:20" x14ac:dyDescent="0.2">
      <c r="B12" s="20" t="s">
        <v>140</v>
      </c>
      <c r="C12" s="12">
        <v>45</v>
      </c>
      <c r="D12" s="13" t="s">
        <v>1</v>
      </c>
      <c r="E12" s="14">
        <v>1346.45</v>
      </c>
      <c r="F12" s="15" t="s">
        <v>141</v>
      </c>
      <c r="G12" s="12">
        <v>55</v>
      </c>
      <c r="H12" s="12">
        <v>2</v>
      </c>
      <c r="I12" s="12">
        <v>31</v>
      </c>
      <c r="J12" s="13" t="s">
        <v>218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f t="shared" ca="1" si="0"/>
        <v>245</v>
      </c>
      <c r="Q12" s="12" t="str">
        <f t="shared" ca="1" si="1"/>
        <v>Intermediate</v>
      </c>
      <c r="R12" s="12">
        <f t="shared" si="2"/>
        <v>29.333333333333332</v>
      </c>
      <c r="S12" s="12" t="str">
        <f t="shared" si="3"/>
        <v>Medium</v>
      </c>
      <c r="T12" s="12">
        <f t="shared" ca="1" si="4"/>
        <v>246</v>
      </c>
    </row>
    <row r="13" spans="2:20" x14ac:dyDescent="0.2">
      <c r="B13" s="21" t="s">
        <v>138</v>
      </c>
      <c r="C13" s="16">
        <v>70</v>
      </c>
      <c r="D13" s="17" t="s">
        <v>1</v>
      </c>
      <c r="E13" s="18">
        <v>1311.22</v>
      </c>
      <c r="F13" s="19" t="s">
        <v>139</v>
      </c>
      <c r="G13" s="16">
        <v>22</v>
      </c>
      <c r="H13" s="16">
        <v>73</v>
      </c>
      <c r="I13" s="16">
        <v>1</v>
      </c>
      <c r="J13" s="17" t="s">
        <v>217</v>
      </c>
      <c r="K13" s="16">
        <v>1</v>
      </c>
      <c r="L13" s="16">
        <v>0</v>
      </c>
      <c r="M13" s="16">
        <v>0</v>
      </c>
      <c r="N13" s="16">
        <v>1</v>
      </c>
      <c r="O13" s="16">
        <v>1</v>
      </c>
      <c r="P13" s="16">
        <f t="shared" ca="1" si="0"/>
        <v>341</v>
      </c>
      <c r="Q13" s="16" t="str">
        <f t="shared" ca="1" si="1"/>
        <v>Intermediate</v>
      </c>
      <c r="R13" s="16">
        <f t="shared" si="2"/>
        <v>32</v>
      </c>
      <c r="S13" s="16" t="str">
        <f t="shared" si="3"/>
        <v>Medium</v>
      </c>
      <c r="T13" s="16">
        <f t="shared" ca="1" si="4"/>
        <v>344</v>
      </c>
    </row>
    <row r="14" spans="2:20" x14ac:dyDescent="0.2">
      <c r="B14" s="20" t="s">
        <v>122</v>
      </c>
      <c r="C14" s="12">
        <v>21</v>
      </c>
      <c r="D14" s="13" t="s">
        <v>4</v>
      </c>
      <c r="E14" s="14">
        <v>1306.1199999999999</v>
      </c>
      <c r="F14" s="15" t="s">
        <v>123</v>
      </c>
      <c r="G14" s="12">
        <v>83</v>
      </c>
      <c r="H14" s="12">
        <v>67</v>
      </c>
      <c r="I14" s="12">
        <v>30</v>
      </c>
      <c r="J14" s="13" t="s">
        <v>220</v>
      </c>
      <c r="K14" s="12">
        <v>1</v>
      </c>
      <c r="L14" s="12">
        <v>0</v>
      </c>
      <c r="M14" s="12">
        <v>0</v>
      </c>
      <c r="N14" s="12">
        <v>1</v>
      </c>
      <c r="O14" s="12">
        <v>1</v>
      </c>
      <c r="P14" s="12">
        <f t="shared" ca="1" si="0"/>
        <v>338</v>
      </c>
      <c r="Q14" s="12" t="str">
        <f t="shared" ca="1" si="1"/>
        <v>Intermediate</v>
      </c>
      <c r="R14" s="12">
        <f t="shared" si="2"/>
        <v>60</v>
      </c>
      <c r="S14" s="12" t="str">
        <f t="shared" si="3"/>
        <v>High</v>
      </c>
      <c r="T14" s="12">
        <f t="shared" ca="1" si="4"/>
        <v>341</v>
      </c>
    </row>
    <row r="15" spans="2:20" x14ac:dyDescent="0.2">
      <c r="B15" s="21" t="s">
        <v>31</v>
      </c>
      <c r="C15" s="16">
        <v>48</v>
      </c>
      <c r="D15" s="17" t="s">
        <v>1</v>
      </c>
      <c r="E15" s="18">
        <v>1289.6099999999999</v>
      </c>
      <c r="F15" s="19" t="s">
        <v>32</v>
      </c>
      <c r="G15" s="16">
        <v>13</v>
      </c>
      <c r="H15" s="16">
        <v>46</v>
      </c>
      <c r="I15" s="16">
        <v>34</v>
      </c>
      <c r="J15" s="17" t="s">
        <v>222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f t="shared" ca="1" si="0"/>
        <v>388</v>
      </c>
      <c r="Q15" s="16" t="str">
        <f t="shared" ca="1" si="1"/>
        <v>Dormant</v>
      </c>
      <c r="R15" s="16">
        <f t="shared" si="2"/>
        <v>31</v>
      </c>
      <c r="S15" s="16" t="str">
        <f t="shared" si="3"/>
        <v>Medium</v>
      </c>
      <c r="T15" s="16">
        <f t="shared" ca="1" si="4"/>
        <v>390</v>
      </c>
    </row>
    <row r="16" spans="2:20" x14ac:dyDescent="0.2">
      <c r="B16" s="20" t="s">
        <v>144</v>
      </c>
      <c r="C16" s="12">
        <v>27</v>
      </c>
      <c r="D16" s="13" t="s">
        <v>1</v>
      </c>
      <c r="E16" s="14">
        <v>1283.6199999999999</v>
      </c>
      <c r="F16" s="15" t="s">
        <v>145</v>
      </c>
      <c r="G16" s="12">
        <v>37</v>
      </c>
      <c r="H16" s="12">
        <v>57</v>
      </c>
      <c r="I16" s="12">
        <v>48</v>
      </c>
      <c r="J16" s="13" t="s">
        <v>219</v>
      </c>
      <c r="K16" s="12">
        <v>1</v>
      </c>
      <c r="L16" s="12">
        <v>1</v>
      </c>
      <c r="M16" s="12">
        <v>0</v>
      </c>
      <c r="N16" s="12">
        <v>0</v>
      </c>
      <c r="O16" s="12">
        <v>1</v>
      </c>
      <c r="P16" s="12">
        <f t="shared" ca="1" si="0"/>
        <v>359</v>
      </c>
      <c r="Q16" s="12" t="str">
        <f t="shared" ca="1" si="1"/>
        <v>Intermediate</v>
      </c>
      <c r="R16" s="12">
        <f t="shared" si="2"/>
        <v>47.333333333333336</v>
      </c>
      <c r="S16" s="12" t="str">
        <f t="shared" si="3"/>
        <v>Medium</v>
      </c>
      <c r="T16" s="12">
        <f t="shared" ca="1" si="4"/>
        <v>362</v>
      </c>
    </row>
    <row r="17" spans="2:20" x14ac:dyDescent="0.2">
      <c r="B17" s="21" t="s">
        <v>53</v>
      </c>
      <c r="C17" s="16">
        <v>57</v>
      </c>
      <c r="D17" s="17" t="s">
        <v>1</v>
      </c>
      <c r="E17" s="18">
        <v>1252.49</v>
      </c>
      <c r="F17" s="19" t="s">
        <v>54</v>
      </c>
      <c r="G17" s="16">
        <v>54</v>
      </c>
      <c r="H17" s="16">
        <v>35</v>
      </c>
      <c r="I17" s="16">
        <v>35</v>
      </c>
      <c r="J17" s="17" t="s">
        <v>222</v>
      </c>
      <c r="K17" s="16">
        <v>0</v>
      </c>
      <c r="L17" s="16">
        <v>1</v>
      </c>
      <c r="M17" s="16">
        <v>1</v>
      </c>
      <c r="N17" s="16">
        <v>1</v>
      </c>
      <c r="O17" s="16">
        <v>0</v>
      </c>
      <c r="P17" s="16">
        <f t="shared" ca="1" si="0"/>
        <v>247</v>
      </c>
      <c r="Q17" s="16" t="str">
        <f t="shared" ca="1" si="1"/>
        <v>Intermediate</v>
      </c>
      <c r="R17" s="16">
        <f t="shared" si="2"/>
        <v>41.333333333333336</v>
      </c>
      <c r="S17" s="16" t="str">
        <f t="shared" si="3"/>
        <v>Medium</v>
      </c>
      <c r="T17" s="16">
        <f t="shared" ca="1" si="4"/>
        <v>250</v>
      </c>
    </row>
    <row r="18" spans="2:20" x14ac:dyDescent="0.2">
      <c r="B18" s="20" t="s">
        <v>33</v>
      </c>
      <c r="C18" s="12">
        <v>63</v>
      </c>
      <c r="D18" s="13" t="s">
        <v>1</v>
      </c>
      <c r="E18" s="14">
        <v>1239.69</v>
      </c>
      <c r="F18" s="15" t="s">
        <v>34</v>
      </c>
      <c r="G18" s="12">
        <v>57</v>
      </c>
      <c r="H18" s="12">
        <v>51</v>
      </c>
      <c r="I18" s="12">
        <v>14</v>
      </c>
      <c r="J18" s="13" t="s">
        <v>217</v>
      </c>
      <c r="K18" s="12">
        <v>0</v>
      </c>
      <c r="L18" s="12">
        <v>1</v>
      </c>
      <c r="M18" s="12">
        <v>1</v>
      </c>
      <c r="N18" s="12">
        <v>0</v>
      </c>
      <c r="O18" s="12">
        <v>1</v>
      </c>
      <c r="P18" s="12">
        <f t="shared" ca="1" si="0"/>
        <v>167</v>
      </c>
      <c r="Q18" s="12" t="str">
        <f t="shared" ca="1" si="1"/>
        <v>Recent</v>
      </c>
      <c r="R18" s="12">
        <f t="shared" si="2"/>
        <v>40.666666666666664</v>
      </c>
      <c r="S18" s="12" t="str">
        <f t="shared" si="3"/>
        <v>Medium</v>
      </c>
      <c r="T18" s="12">
        <f t="shared" ca="1" si="4"/>
        <v>170</v>
      </c>
    </row>
    <row r="19" spans="2:20" x14ac:dyDescent="0.2">
      <c r="B19" s="21" t="s">
        <v>117</v>
      </c>
      <c r="C19" s="16">
        <v>37</v>
      </c>
      <c r="D19" s="17" t="s">
        <v>1</v>
      </c>
      <c r="E19" s="18">
        <v>1225.58</v>
      </c>
      <c r="F19" s="19" t="s">
        <v>62</v>
      </c>
      <c r="G19" s="16">
        <v>54</v>
      </c>
      <c r="H19" s="16">
        <v>29</v>
      </c>
      <c r="I19" s="16">
        <v>17</v>
      </c>
      <c r="J19" s="17" t="s">
        <v>217</v>
      </c>
      <c r="K19" s="16">
        <v>0</v>
      </c>
      <c r="L19" s="16">
        <v>0</v>
      </c>
      <c r="M19" s="16">
        <v>1</v>
      </c>
      <c r="N19" s="16">
        <v>0</v>
      </c>
      <c r="O19" s="16">
        <v>0</v>
      </c>
      <c r="P19" s="16">
        <f t="shared" ca="1" si="0"/>
        <v>332</v>
      </c>
      <c r="Q19" s="16" t="str">
        <f t="shared" ca="1" si="1"/>
        <v>Intermediate</v>
      </c>
      <c r="R19" s="16">
        <f t="shared" si="2"/>
        <v>33.333333333333336</v>
      </c>
      <c r="S19" s="16" t="str">
        <f t="shared" si="3"/>
        <v>Medium</v>
      </c>
      <c r="T19" s="16">
        <f t="shared" ca="1" si="4"/>
        <v>333</v>
      </c>
    </row>
    <row r="20" spans="2:20" x14ac:dyDescent="0.2">
      <c r="B20" s="20" t="s">
        <v>119</v>
      </c>
      <c r="C20" s="12">
        <v>56</v>
      </c>
      <c r="D20" s="13" t="s">
        <v>1</v>
      </c>
      <c r="E20" s="14">
        <v>1170.9000000000001</v>
      </c>
      <c r="F20" s="15" t="s">
        <v>111</v>
      </c>
      <c r="G20" s="12">
        <v>42</v>
      </c>
      <c r="H20" s="12">
        <v>29</v>
      </c>
      <c r="I20" s="12">
        <v>30</v>
      </c>
      <c r="J20" s="13" t="s">
        <v>221</v>
      </c>
      <c r="K20" s="12">
        <v>1</v>
      </c>
      <c r="L20" s="12">
        <v>1</v>
      </c>
      <c r="M20" s="12">
        <v>1</v>
      </c>
      <c r="N20" s="12">
        <v>0</v>
      </c>
      <c r="O20" s="12">
        <v>0</v>
      </c>
      <c r="P20" s="12">
        <f t="shared" ca="1" si="0"/>
        <v>412</v>
      </c>
      <c r="Q20" s="12" t="str">
        <f t="shared" ca="1" si="1"/>
        <v>Dormant</v>
      </c>
      <c r="R20" s="12">
        <f t="shared" si="2"/>
        <v>33.666666666666664</v>
      </c>
      <c r="S20" s="12" t="str">
        <f t="shared" si="3"/>
        <v>Medium</v>
      </c>
      <c r="T20" s="12">
        <f t="shared" ca="1" si="4"/>
        <v>415</v>
      </c>
    </row>
    <row r="21" spans="2:20" x14ac:dyDescent="0.2">
      <c r="B21" s="21" t="s">
        <v>168</v>
      </c>
      <c r="C21" s="16">
        <v>24</v>
      </c>
      <c r="D21" s="17" t="s">
        <v>4</v>
      </c>
      <c r="E21" s="18">
        <v>1169.96</v>
      </c>
      <c r="F21" s="19" t="s">
        <v>169</v>
      </c>
      <c r="G21" s="16">
        <v>40</v>
      </c>
      <c r="H21" s="16">
        <v>67</v>
      </c>
      <c r="I21" s="16">
        <v>40</v>
      </c>
      <c r="J21" s="17" t="s">
        <v>220</v>
      </c>
      <c r="K21" s="16">
        <v>0</v>
      </c>
      <c r="L21" s="16">
        <v>0</v>
      </c>
      <c r="M21" s="16">
        <v>0</v>
      </c>
      <c r="N21" s="16">
        <v>1</v>
      </c>
      <c r="O21" s="16">
        <v>0</v>
      </c>
      <c r="P21" s="16">
        <f t="shared" ca="1" si="0"/>
        <v>504</v>
      </c>
      <c r="Q21" s="16" t="str">
        <f t="shared" ca="1" si="1"/>
        <v>Dormant</v>
      </c>
      <c r="R21" s="16">
        <f t="shared" si="2"/>
        <v>49</v>
      </c>
      <c r="S21" s="16" t="str">
        <f t="shared" si="3"/>
        <v>Medium</v>
      </c>
      <c r="T21" s="16">
        <f t="shared" ca="1" si="4"/>
        <v>505</v>
      </c>
    </row>
    <row r="22" spans="2:20" x14ac:dyDescent="0.2">
      <c r="B22" s="20" t="s">
        <v>132</v>
      </c>
      <c r="C22" s="12">
        <v>19</v>
      </c>
      <c r="D22" s="13" t="s">
        <v>4</v>
      </c>
      <c r="E22" s="14">
        <v>1148.18</v>
      </c>
      <c r="F22" s="15" t="s">
        <v>133</v>
      </c>
      <c r="G22" s="12">
        <v>37</v>
      </c>
      <c r="H22" s="12">
        <v>48</v>
      </c>
      <c r="I22" s="12">
        <v>50</v>
      </c>
      <c r="J22" s="13" t="s">
        <v>223</v>
      </c>
      <c r="K22" s="12">
        <v>1</v>
      </c>
      <c r="L22" s="12">
        <v>0</v>
      </c>
      <c r="M22" s="12">
        <v>1</v>
      </c>
      <c r="N22" s="12">
        <v>0</v>
      </c>
      <c r="O22" s="12">
        <v>1</v>
      </c>
      <c r="P22" s="12">
        <f t="shared" ca="1" si="0"/>
        <v>275</v>
      </c>
      <c r="Q22" s="12" t="str">
        <f t="shared" ca="1" si="1"/>
        <v>Intermediate</v>
      </c>
      <c r="R22" s="12">
        <f t="shared" si="2"/>
        <v>45</v>
      </c>
      <c r="S22" s="12" t="str">
        <f t="shared" si="3"/>
        <v>Medium</v>
      </c>
      <c r="T22" s="12">
        <f t="shared" ca="1" si="4"/>
        <v>278</v>
      </c>
    </row>
    <row r="23" spans="2:20" x14ac:dyDescent="0.2">
      <c r="B23" s="21" t="s">
        <v>177</v>
      </c>
      <c r="C23" s="16">
        <v>26</v>
      </c>
      <c r="D23" s="17" t="s">
        <v>1</v>
      </c>
      <c r="E23" s="18">
        <v>1120.81</v>
      </c>
      <c r="F23" s="19" t="s">
        <v>178</v>
      </c>
      <c r="G23" s="16">
        <v>40</v>
      </c>
      <c r="H23" s="16">
        <v>28</v>
      </c>
      <c r="I23" s="16">
        <v>11</v>
      </c>
      <c r="J23" s="17" t="s">
        <v>220</v>
      </c>
      <c r="K23" s="16">
        <v>0</v>
      </c>
      <c r="L23" s="16">
        <v>1</v>
      </c>
      <c r="M23" s="16">
        <v>0</v>
      </c>
      <c r="N23" s="16">
        <v>1</v>
      </c>
      <c r="O23" s="16">
        <v>0</v>
      </c>
      <c r="P23" s="16">
        <f t="shared" ca="1" si="0"/>
        <v>224</v>
      </c>
      <c r="Q23" s="16" t="str">
        <f t="shared" ca="1" si="1"/>
        <v>Intermediate</v>
      </c>
      <c r="R23" s="16">
        <f t="shared" si="2"/>
        <v>26.333333333333332</v>
      </c>
      <c r="S23" s="16" t="str">
        <f t="shared" si="3"/>
        <v>Medium</v>
      </c>
      <c r="T23" s="16">
        <f t="shared" ca="1" si="4"/>
        <v>226</v>
      </c>
    </row>
    <row r="24" spans="2:20" x14ac:dyDescent="0.2">
      <c r="B24" s="20" t="s">
        <v>23</v>
      </c>
      <c r="C24" s="12">
        <v>66</v>
      </c>
      <c r="D24" s="13" t="s">
        <v>4</v>
      </c>
      <c r="E24" s="14">
        <v>1105.25</v>
      </c>
      <c r="F24" s="15" t="s">
        <v>24</v>
      </c>
      <c r="G24" s="12">
        <v>57</v>
      </c>
      <c r="H24" s="12">
        <v>34</v>
      </c>
      <c r="I24" s="12">
        <v>16</v>
      </c>
      <c r="J24" s="13" t="s">
        <v>221</v>
      </c>
      <c r="K24" s="12">
        <v>1</v>
      </c>
      <c r="L24" s="12">
        <v>0</v>
      </c>
      <c r="M24" s="12">
        <v>0</v>
      </c>
      <c r="N24" s="12">
        <v>0</v>
      </c>
      <c r="O24" s="12">
        <v>0</v>
      </c>
      <c r="P24" s="12">
        <f t="shared" ca="1" si="0"/>
        <v>486</v>
      </c>
      <c r="Q24" s="12" t="str">
        <f t="shared" ca="1" si="1"/>
        <v>Dormant</v>
      </c>
      <c r="R24" s="12">
        <f t="shared" si="2"/>
        <v>35.666666666666664</v>
      </c>
      <c r="S24" s="12" t="str">
        <f t="shared" si="3"/>
        <v>Medium</v>
      </c>
      <c r="T24" s="12">
        <f t="shared" ca="1" si="4"/>
        <v>487</v>
      </c>
    </row>
    <row r="25" spans="2:20" x14ac:dyDescent="0.2">
      <c r="B25" s="21" t="s">
        <v>152</v>
      </c>
      <c r="C25" s="16">
        <v>69</v>
      </c>
      <c r="D25" s="17" t="s">
        <v>1</v>
      </c>
      <c r="E25" s="18">
        <v>1085.8699999999999</v>
      </c>
      <c r="F25" s="19" t="s">
        <v>143</v>
      </c>
      <c r="G25" s="16">
        <v>43</v>
      </c>
      <c r="H25" s="16">
        <v>15</v>
      </c>
      <c r="I25" s="16">
        <v>44</v>
      </c>
      <c r="J25" s="17" t="s">
        <v>222</v>
      </c>
      <c r="K25" s="16">
        <v>1</v>
      </c>
      <c r="L25" s="16">
        <v>0</v>
      </c>
      <c r="M25" s="16">
        <v>0</v>
      </c>
      <c r="N25" s="16">
        <v>0</v>
      </c>
      <c r="O25" s="16">
        <v>0</v>
      </c>
      <c r="P25" s="16">
        <f t="shared" ca="1" si="0"/>
        <v>287</v>
      </c>
      <c r="Q25" s="16" t="str">
        <f t="shared" ca="1" si="1"/>
        <v>Intermediate</v>
      </c>
      <c r="R25" s="16">
        <f t="shared" si="2"/>
        <v>34</v>
      </c>
      <c r="S25" s="16" t="str">
        <f t="shared" si="3"/>
        <v>Medium</v>
      </c>
      <c r="T25" s="16">
        <f t="shared" ca="1" si="4"/>
        <v>288</v>
      </c>
    </row>
    <row r="26" spans="2:20" x14ac:dyDescent="0.2">
      <c r="B26" s="20" t="s">
        <v>14</v>
      </c>
      <c r="C26" s="12">
        <v>40</v>
      </c>
      <c r="D26" s="13" t="s">
        <v>1</v>
      </c>
      <c r="E26" s="14">
        <v>1082.95</v>
      </c>
      <c r="F26" s="15" t="s">
        <v>15</v>
      </c>
      <c r="G26" s="12">
        <v>83</v>
      </c>
      <c r="H26" s="12">
        <v>73</v>
      </c>
      <c r="I26" s="12">
        <v>17</v>
      </c>
      <c r="J26" s="13" t="s">
        <v>225</v>
      </c>
      <c r="K26" s="12">
        <v>1</v>
      </c>
      <c r="L26" s="12">
        <v>1</v>
      </c>
      <c r="M26" s="12">
        <v>0</v>
      </c>
      <c r="N26" s="12">
        <v>0</v>
      </c>
      <c r="O26" s="12">
        <v>0</v>
      </c>
      <c r="P26" s="12">
        <f t="shared" ca="1" si="0"/>
        <v>505</v>
      </c>
      <c r="Q26" s="12" t="str">
        <f t="shared" ca="1" si="1"/>
        <v>Dormant</v>
      </c>
      <c r="R26" s="12">
        <f t="shared" si="2"/>
        <v>57.666666666666664</v>
      </c>
      <c r="S26" s="12" t="str">
        <f t="shared" si="3"/>
        <v>High</v>
      </c>
      <c r="T26" s="12">
        <f t="shared" ca="1" si="4"/>
        <v>507</v>
      </c>
    </row>
    <row r="27" spans="2:20" x14ac:dyDescent="0.2">
      <c r="B27" s="21" t="s">
        <v>114</v>
      </c>
      <c r="C27" s="16">
        <v>31</v>
      </c>
      <c r="D27" s="17" t="s">
        <v>4</v>
      </c>
      <c r="E27" s="18">
        <v>1077.92</v>
      </c>
      <c r="F27" s="19" t="s">
        <v>115</v>
      </c>
      <c r="G27" s="16">
        <v>99</v>
      </c>
      <c r="H27" s="16">
        <v>88</v>
      </c>
      <c r="I27" s="16">
        <v>40</v>
      </c>
      <c r="J27" s="17" t="s">
        <v>224</v>
      </c>
      <c r="K27" s="16">
        <v>0</v>
      </c>
      <c r="L27" s="16">
        <v>0</v>
      </c>
      <c r="M27" s="16">
        <v>1</v>
      </c>
      <c r="N27" s="16">
        <v>1</v>
      </c>
      <c r="O27" s="16">
        <v>0</v>
      </c>
      <c r="P27" s="16">
        <f t="shared" ca="1" si="0"/>
        <v>441</v>
      </c>
      <c r="Q27" s="16" t="str">
        <f t="shared" ca="1" si="1"/>
        <v>Dormant</v>
      </c>
      <c r="R27" s="16">
        <f t="shared" si="2"/>
        <v>75.666666666666671</v>
      </c>
      <c r="S27" s="16" t="str">
        <f t="shared" si="3"/>
        <v>High</v>
      </c>
      <c r="T27" s="16">
        <f t="shared" ca="1" si="4"/>
        <v>443</v>
      </c>
    </row>
    <row r="28" spans="2:20" x14ac:dyDescent="0.2">
      <c r="B28" s="20" t="s">
        <v>170</v>
      </c>
      <c r="C28" s="12">
        <v>61</v>
      </c>
      <c r="D28" s="13" t="s">
        <v>1</v>
      </c>
      <c r="E28" s="14">
        <v>1061.6199999999999</v>
      </c>
      <c r="F28" s="15" t="s">
        <v>169</v>
      </c>
      <c r="G28" s="12">
        <v>32</v>
      </c>
      <c r="H28" s="12">
        <v>29</v>
      </c>
      <c r="I28" s="12">
        <v>10</v>
      </c>
      <c r="J28" s="13" t="s">
        <v>223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f t="shared" ca="1" si="0"/>
        <v>504</v>
      </c>
      <c r="Q28" s="12" t="str">
        <f t="shared" ca="1" si="1"/>
        <v>Dormant</v>
      </c>
      <c r="R28" s="12">
        <f t="shared" si="2"/>
        <v>23.666666666666668</v>
      </c>
      <c r="S28" s="12" t="str">
        <f t="shared" si="3"/>
        <v>Low</v>
      </c>
      <c r="T28" s="12">
        <f t="shared" ca="1" si="4"/>
        <v>505</v>
      </c>
    </row>
    <row r="29" spans="2:20" x14ac:dyDescent="0.2">
      <c r="B29" s="21" t="s">
        <v>98</v>
      </c>
      <c r="C29" s="16">
        <v>20</v>
      </c>
      <c r="D29" s="17" t="s">
        <v>1</v>
      </c>
      <c r="E29" s="18">
        <v>1051.95</v>
      </c>
      <c r="F29" s="19" t="s">
        <v>99</v>
      </c>
      <c r="G29" s="16">
        <v>57</v>
      </c>
      <c r="H29" s="16">
        <v>79</v>
      </c>
      <c r="I29" s="16">
        <v>37</v>
      </c>
      <c r="J29" s="17" t="s">
        <v>217</v>
      </c>
      <c r="K29" s="16">
        <v>0</v>
      </c>
      <c r="L29" s="16">
        <v>1</v>
      </c>
      <c r="M29" s="16">
        <v>1</v>
      </c>
      <c r="N29" s="16">
        <v>0</v>
      </c>
      <c r="O29" s="16">
        <v>1</v>
      </c>
      <c r="P29" s="16">
        <f t="shared" ca="1" si="0"/>
        <v>472</v>
      </c>
      <c r="Q29" s="16" t="str">
        <f t="shared" ca="1" si="1"/>
        <v>Dormant</v>
      </c>
      <c r="R29" s="16">
        <f t="shared" si="2"/>
        <v>57.666666666666664</v>
      </c>
      <c r="S29" s="16" t="str">
        <f t="shared" si="3"/>
        <v>High</v>
      </c>
      <c r="T29" s="16">
        <f t="shared" ca="1" si="4"/>
        <v>475</v>
      </c>
    </row>
    <row r="30" spans="2:20" x14ac:dyDescent="0.2">
      <c r="B30" s="20" t="s">
        <v>108</v>
      </c>
      <c r="C30" s="12">
        <v>66</v>
      </c>
      <c r="D30" s="13" t="s">
        <v>4</v>
      </c>
      <c r="E30" s="14">
        <v>1050.44</v>
      </c>
      <c r="F30" s="15" t="s">
        <v>109</v>
      </c>
      <c r="G30" s="12">
        <v>11</v>
      </c>
      <c r="H30" s="12">
        <v>67</v>
      </c>
      <c r="I30" s="12">
        <v>20</v>
      </c>
      <c r="J30" s="13" t="s">
        <v>220</v>
      </c>
      <c r="K30" s="12">
        <v>0</v>
      </c>
      <c r="L30" s="12">
        <v>1</v>
      </c>
      <c r="M30" s="12">
        <v>0</v>
      </c>
      <c r="N30" s="12">
        <v>0</v>
      </c>
      <c r="O30" s="12">
        <v>1</v>
      </c>
      <c r="P30" s="12">
        <f t="shared" ca="1" si="0"/>
        <v>417</v>
      </c>
      <c r="Q30" s="12" t="str">
        <f t="shared" ca="1" si="1"/>
        <v>Dormant</v>
      </c>
      <c r="R30" s="12">
        <f t="shared" si="2"/>
        <v>32.666666666666664</v>
      </c>
      <c r="S30" s="12" t="str">
        <f t="shared" si="3"/>
        <v>Medium</v>
      </c>
      <c r="T30" s="12">
        <f t="shared" ca="1" si="4"/>
        <v>419</v>
      </c>
    </row>
    <row r="31" spans="2:20" x14ac:dyDescent="0.2">
      <c r="B31" s="21" t="s">
        <v>174</v>
      </c>
      <c r="C31" s="16">
        <v>58</v>
      </c>
      <c r="D31" s="17" t="s">
        <v>1</v>
      </c>
      <c r="E31" s="18">
        <v>1047.8</v>
      </c>
      <c r="F31" s="19" t="s">
        <v>82</v>
      </c>
      <c r="G31" s="16">
        <v>59</v>
      </c>
      <c r="H31" s="16">
        <v>54</v>
      </c>
      <c r="I31" s="16">
        <v>35</v>
      </c>
      <c r="J31" s="17" t="s">
        <v>222</v>
      </c>
      <c r="K31" s="16">
        <v>0</v>
      </c>
      <c r="L31" s="16">
        <v>1</v>
      </c>
      <c r="M31" s="16">
        <v>0</v>
      </c>
      <c r="N31" s="16">
        <v>0</v>
      </c>
      <c r="O31" s="16">
        <v>0</v>
      </c>
      <c r="P31" s="16">
        <f t="shared" ca="1" si="0"/>
        <v>331</v>
      </c>
      <c r="Q31" s="16" t="str">
        <f t="shared" ca="1" si="1"/>
        <v>Intermediate</v>
      </c>
      <c r="R31" s="16">
        <f t="shared" si="2"/>
        <v>49.333333333333336</v>
      </c>
      <c r="S31" s="16" t="str">
        <f t="shared" si="3"/>
        <v>Medium</v>
      </c>
      <c r="T31" s="16">
        <f t="shared" ca="1" si="4"/>
        <v>332</v>
      </c>
    </row>
    <row r="32" spans="2:20" x14ac:dyDescent="0.2">
      <c r="B32" s="20" t="s">
        <v>8</v>
      </c>
      <c r="C32" s="12">
        <v>59</v>
      </c>
      <c r="D32" s="13" t="s">
        <v>4</v>
      </c>
      <c r="E32" s="14">
        <v>1014.87</v>
      </c>
      <c r="F32" s="15" t="s">
        <v>9</v>
      </c>
      <c r="G32" s="12">
        <v>24</v>
      </c>
      <c r="H32" s="12">
        <v>39</v>
      </c>
      <c r="I32" s="12">
        <v>43</v>
      </c>
      <c r="J32" s="13" t="s">
        <v>219</v>
      </c>
      <c r="K32" s="12">
        <v>0</v>
      </c>
      <c r="L32" s="12">
        <v>1</v>
      </c>
      <c r="M32" s="12">
        <v>0</v>
      </c>
      <c r="N32" s="12">
        <v>0</v>
      </c>
      <c r="O32" s="12">
        <v>0</v>
      </c>
      <c r="P32" s="12">
        <f t="shared" ca="1" si="0"/>
        <v>211</v>
      </c>
      <c r="Q32" s="12" t="str">
        <f t="shared" ca="1" si="1"/>
        <v>Intermediate</v>
      </c>
      <c r="R32" s="12">
        <f t="shared" si="2"/>
        <v>35.333333333333336</v>
      </c>
      <c r="S32" s="12" t="str">
        <f t="shared" si="3"/>
        <v>Medium</v>
      </c>
      <c r="T32" s="12">
        <f t="shared" ca="1" si="4"/>
        <v>212</v>
      </c>
    </row>
    <row r="33" spans="2:20" x14ac:dyDescent="0.2">
      <c r="B33" s="21" t="s">
        <v>164</v>
      </c>
      <c r="C33" s="16">
        <v>42</v>
      </c>
      <c r="D33" s="17" t="s">
        <v>1</v>
      </c>
      <c r="E33" s="18">
        <v>1007.12</v>
      </c>
      <c r="F33" s="19" t="s">
        <v>165</v>
      </c>
      <c r="G33" s="16">
        <v>90</v>
      </c>
      <c r="H33" s="16">
        <v>38</v>
      </c>
      <c r="I33" s="16">
        <v>49</v>
      </c>
      <c r="J33" s="17" t="s">
        <v>218</v>
      </c>
      <c r="K33" s="16">
        <v>0</v>
      </c>
      <c r="L33" s="16">
        <v>0</v>
      </c>
      <c r="M33" s="16">
        <v>0</v>
      </c>
      <c r="N33" s="16">
        <v>1</v>
      </c>
      <c r="O33" s="16">
        <v>0</v>
      </c>
      <c r="P33" s="16">
        <f t="shared" ca="1" si="0"/>
        <v>374</v>
      </c>
      <c r="Q33" s="16" t="str">
        <f t="shared" ca="1" si="1"/>
        <v>Dormant</v>
      </c>
      <c r="R33" s="16">
        <f t="shared" si="2"/>
        <v>59</v>
      </c>
      <c r="S33" s="16" t="str">
        <f t="shared" si="3"/>
        <v>High</v>
      </c>
      <c r="T33" s="16">
        <f t="shared" ca="1" si="4"/>
        <v>375</v>
      </c>
    </row>
    <row r="34" spans="2:20" x14ac:dyDescent="0.2">
      <c r="B34" s="20" t="s">
        <v>10</v>
      </c>
      <c r="C34" s="12">
        <v>31</v>
      </c>
      <c r="D34" s="13" t="s">
        <v>1</v>
      </c>
      <c r="E34" s="14">
        <v>986.22</v>
      </c>
      <c r="F34" s="15" t="s">
        <v>11</v>
      </c>
      <c r="G34" s="12">
        <v>47</v>
      </c>
      <c r="H34" s="12">
        <v>29</v>
      </c>
      <c r="I34" s="12">
        <v>41</v>
      </c>
      <c r="J34" s="13" t="s">
        <v>216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f t="shared" ca="1" si="0"/>
        <v>399</v>
      </c>
      <c r="Q34" s="12" t="str">
        <f t="shared" ca="1" si="1"/>
        <v>Dormant</v>
      </c>
      <c r="R34" s="12">
        <f t="shared" si="2"/>
        <v>39</v>
      </c>
      <c r="S34" s="12" t="str">
        <f t="shared" si="3"/>
        <v>Medium</v>
      </c>
      <c r="T34" s="12">
        <f t="shared" ca="1" si="4"/>
        <v>400</v>
      </c>
    </row>
    <row r="35" spans="2:20" x14ac:dyDescent="0.2">
      <c r="B35" s="21" t="s">
        <v>67</v>
      </c>
      <c r="C35" s="16">
        <v>33</v>
      </c>
      <c r="D35" s="17" t="s">
        <v>4</v>
      </c>
      <c r="E35" s="18">
        <v>983.3</v>
      </c>
      <c r="F35" s="19" t="s">
        <v>68</v>
      </c>
      <c r="G35" s="16">
        <v>52</v>
      </c>
      <c r="H35" s="16">
        <v>26</v>
      </c>
      <c r="I35" s="16">
        <v>6</v>
      </c>
      <c r="J35" s="17" t="s">
        <v>218</v>
      </c>
      <c r="K35" s="16">
        <v>0</v>
      </c>
      <c r="L35" s="16">
        <v>1</v>
      </c>
      <c r="M35" s="16">
        <v>1</v>
      </c>
      <c r="N35" s="16">
        <v>0</v>
      </c>
      <c r="O35" s="16">
        <v>0</v>
      </c>
      <c r="P35" s="16">
        <f t="shared" ca="1" si="0"/>
        <v>223</v>
      </c>
      <c r="Q35" s="16" t="str">
        <f t="shared" ca="1" si="1"/>
        <v>Intermediate</v>
      </c>
      <c r="R35" s="16">
        <f t="shared" si="2"/>
        <v>28</v>
      </c>
      <c r="S35" s="16" t="str">
        <f t="shared" si="3"/>
        <v>Medium</v>
      </c>
      <c r="T35" s="16">
        <f t="shared" ca="1" si="4"/>
        <v>225</v>
      </c>
    </row>
    <row r="36" spans="2:20" x14ac:dyDescent="0.2">
      <c r="B36" s="20" t="s">
        <v>116</v>
      </c>
      <c r="C36" s="12">
        <v>31</v>
      </c>
      <c r="D36" s="13" t="s">
        <v>4</v>
      </c>
      <c r="E36" s="14">
        <v>976.22</v>
      </c>
      <c r="F36" s="15" t="s">
        <v>15</v>
      </c>
      <c r="G36" s="12">
        <v>24</v>
      </c>
      <c r="H36" s="12">
        <v>77</v>
      </c>
      <c r="I36" s="12">
        <v>8</v>
      </c>
      <c r="J36" s="13" t="s">
        <v>216</v>
      </c>
      <c r="K36" s="12">
        <v>0</v>
      </c>
      <c r="L36" s="12">
        <v>1</v>
      </c>
      <c r="M36" s="12">
        <v>0</v>
      </c>
      <c r="N36" s="12">
        <v>0</v>
      </c>
      <c r="O36" s="12">
        <v>0</v>
      </c>
      <c r="P36" s="12">
        <f t="shared" ref="P36:P67" ca="1" si="5">TODAY()-F36</f>
        <v>505</v>
      </c>
      <c r="Q36" s="12" t="str">
        <f t="shared" ref="Q36:Q67" ca="1" si="6">IF(P36&lt;=180,"Recent",IF(P36&lt;=360,"Intermediate","Dormant"))</f>
        <v>Dormant</v>
      </c>
      <c r="R36" s="12">
        <f t="shared" ref="R36:R67" si="7">AVERAGE(G36,H36,I36)</f>
        <v>36.333333333333336</v>
      </c>
      <c r="S36" s="12" t="str">
        <f t="shared" ref="S36:S67" si="8">IF(R36&lt;=25,"Low",IF(R36&lt;=50,"Medium","High"))</f>
        <v>Medium</v>
      </c>
      <c r="T36" s="12">
        <f t="shared" ref="T36:T67" ca="1" si="9">SUM(K36,L36,M36,N36,O36,P36)</f>
        <v>506</v>
      </c>
    </row>
    <row r="37" spans="2:20" x14ac:dyDescent="0.2">
      <c r="B37" s="21" t="s">
        <v>94</v>
      </c>
      <c r="C37" s="16">
        <v>59</v>
      </c>
      <c r="D37" s="17" t="s">
        <v>1</v>
      </c>
      <c r="E37" s="18">
        <v>910.4</v>
      </c>
      <c r="F37" s="19" t="s">
        <v>95</v>
      </c>
      <c r="G37" s="16">
        <v>26</v>
      </c>
      <c r="H37" s="16">
        <v>89</v>
      </c>
      <c r="I37" s="16">
        <v>11</v>
      </c>
      <c r="J37" s="17" t="s">
        <v>219</v>
      </c>
      <c r="K37" s="16">
        <v>0</v>
      </c>
      <c r="L37" s="16">
        <v>1</v>
      </c>
      <c r="M37" s="16">
        <v>1</v>
      </c>
      <c r="N37" s="16">
        <v>1</v>
      </c>
      <c r="O37" s="16">
        <v>1</v>
      </c>
      <c r="P37" s="16">
        <f t="shared" ca="1" si="5"/>
        <v>173</v>
      </c>
      <c r="Q37" s="16" t="str">
        <f t="shared" ca="1" si="6"/>
        <v>Recent</v>
      </c>
      <c r="R37" s="16">
        <f t="shared" si="7"/>
        <v>42</v>
      </c>
      <c r="S37" s="16" t="str">
        <f t="shared" si="8"/>
        <v>Medium</v>
      </c>
      <c r="T37" s="16">
        <f t="shared" ca="1" si="9"/>
        <v>177</v>
      </c>
    </row>
    <row r="38" spans="2:20" x14ac:dyDescent="0.2">
      <c r="B38" s="20" t="s">
        <v>55</v>
      </c>
      <c r="C38" s="12">
        <v>33</v>
      </c>
      <c r="D38" s="13" t="s">
        <v>1</v>
      </c>
      <c r="E38" s="14">
        <v>909.23</v>
      </c>
      <c r="F38" s="15" t="s">
        <v>56</v>
      </c>
      <c r="G38" s="12">
        <v>10</v>
      </c>
      <c r="H38" s="12">
        <v>13</v>
      </c>
      <c r="I38" s="12">
        <v>41</v>
      </c>
      <c r="J38" s="13" t="s">
        <v>220</v>
      </c>
      <c r="K38" s="12">
        <v>0</v>
      </c>
      <c r="L38" s="12">
        <v>1</v>
      </c>
      <c r="M38" s="12">
        <v>1</v>
      </c>
      <c r="N38" s="12">
        <v>1</v>
      </c>
      <c r="O38" s="12">
        <v>1</v>
      </c>
      <c r="P38" s="12">
        <f t="shared" ca="1" si="5"/>
        <v>435</v>
      </c>
      <c r="Q38" s="12" t="str">
        <f t="shared" ca="1" si="6"/>
        <v>Dormant</v>
      </c>
      <c r="R38" s="12">
        <f t="shared" si="7"/>
        <v>21.333333333333332</v>
      </c>
      <c r="S38" s="12" t="str">
        <f t="shared" si="8"/>
        <v>Low</v>
      </c>
      <c r="T38" s="12">
        <f t="shared" ca="1" si="9"/>
        <v>439</v>
      </c>
    </row>
    <row r="39" spans="2:20" x14ac:dyDescent="0.2">
      <c r="B39" s="21" t="s">
        <v>77</v>
      </c>
      <c r="C39" s="16">
        <v>48</v>
      </c>
      <c r="D39" s="17" t="s">
        <v>1</v>
      </c>
      <c r="E39" s="18">
        <v>906.72</v>
      </c>
      <c r="F39" s="19" t="s">
        <v>78</v>
      </c>
      <c r="G39" s="16">
        <v>51</v>
      </c>
      <c r="H39" s="16">
        <v>69</v>
      </c>
      <c r="I39" s="16">
        <v>14</v>
      </c>
      <c r="J39" s="17" t="s">
        <v>218</v>
      </c>
      <c r="K39" s="16">
        <v>1</v>
      </c>
      <c r="L39" s="16">
        <v>1</v>
      </c>
      <c r="M39" s="16">
        <v>1</v>
      </c>
      <c r="N39" s="16">
        <v>0</v>
      </c>
      <c r="O39" s="16">
        <v>0</v>
      </c>
      <c r="P39" s="16">
        <f t="shared" ca="1" si="5"/>
        <v>298</v>
      </c>
      <c r="Q39" s="16" t="str">
        <f t="shared" ca="1" si="6"/>
        <v>Intermediate</v>
      </c>
      <c r="R39" s="16">
        <f t="shared" si="7"/>
        <v>44.666666666666664</v>
      </c>
      <c r="S39" s="16" t="str">
        <f t="shared" si="8"/>
        <v>Medium</v>
      </c>
      <c r="T39" s="16">
        <f t="shared" ca="1" si="9"/>
        <v>301</v>
      </c>
    </row>
    <row r="40" spans="2:20" x14ac:dyDescent="0.2">
      <c r="B40" s="20" t="s">
        <v>75</v>
      </c>
      <c r="C40" s="12">
        <v>59</v>
      </c>
      <c r="D40" s="13" t="s">
        <v>4</v>
      </c>
      <c r="E40" s="14">
        <v>905.93</v>
      </c>
      <c r="F40" s="15" t="s">
        <v>76</v>
      </c>
      <c r="G40" s="12">
        <v>25</v>
      </c>
      <c r="H40" s="12">
        <v>2</v>
      </c>
      <c r="I40" s="12">
        <v>49</v>
      </c>
      <c r="J40" s="13" t="s">
        <v>225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f t="shared" ca="1" si="5"/>
        <v>212</v>
      </c>
      <c r="Q40" s="12" t="str">
        <f t="shared" ca="1" si="6"/>
        <v>Intermediate</v>
      </c>
      <c r="R40" s="12">
        <f t="shared" si="7"/>
        <v>25.333333333333332</v>
      </c>
      <c r="S40" s="12" t="str">
        <f t="shared" si="8"/>
        <v>Medium</v>
      </c>
      <c r="T40" s="12">
        <f t="shared" ca="1" si="9"/>
        <v>213</v>
      </c>
    </row>
    <row r="41" spans="2:20" x14ac:dyDescent="0.2">
      <c r="B41" s="21" t="s">
        <v>126</v>
      </c>
      <c r="C41" s="16">
        <v>39</v>
      </c>
      <c r="D41" s="17" t="s">
        <v>4</v>
      </c>
      <c r="E41" s="18">
        <v>876.59</v>
      </c>
      <c r="F41" s="19" t="s">
        <v>127</v>
      </c>
      <c r="G41" s="16">
        <v>2</v>
      </c>
      <c r="H41" s="16">
        <v>95</v>
      </c>
      <c r="I41" s="16">
        <v>29</v>
      </c>
      <c r="J41" s="17" t="s">
        <v>216</v>
      </c>
      <c r="K41" s="16">
        <v>1</v>
      </c>
      <c r="L41" s="16">
        <v>0</v>
      </c>
      <c r="M41" s="16">
        <v>0</v>
      </c>
      <c r="N41" s="16">
        <v>1</v>
      </c>
      <c r="O41" s="16">
        <v>0</v>
      </c>
      <c r="P41" s="16">
        <f t="shared" ca="1" si="5"/>
        <v>333</v>
      </c>
      <c r="Q41" s="16" t="str">
        <f t="shared" ca="1" si="6"/>
        <v>Intermediate</v>
      </c>
      <c r="R41" s="16">
        <f t="shared" si="7"/>
        <v>42</v>
      </c>
      <c r="S41" s="16" t="str">
        <f t="shared" si="8"/>
        <v>Medium</v>
      </c>
      <c r="T41" s="16">
        <f t="shared" ca="1" si="9"/>
        <v>335</v>
      </c>
    </row>
    <row r="42" spans="2:20" x14ac:dyDescent="0.2">
      <c r="B42" s="20" t="s">
        <v>39</v>
      </c>
      <c r="C42" s="12">
        <v>27</v>
      </c>
      <c r="D42" s="13" t="s">
        <v>4</v>
      </c>
      <c r="E42" s="14">
        <v>831.6</v>
      </c>
      <c r="F42" s="15" t="s">
        <v>40</v>
      </c>
      <c r="G42" s="12">
        <v>56</v>
      </c>
      <c r="H42" s="12">
        <v>52</v>
      </c>
      <c r="I42" s="12">
        <v>47</v>
      </c>
      <c r="J42" s="13" t="s">
        <v>216</v>
      </c>
      <c r="K42" s="12">
        <v>0</v>
      </c>
      <c r="L42" s="12">
        <v>1</v>
      </c>
      <c r="M42" s="12">
        <v>0</v>
      </c>
      <c r="N42" s="12">
        <v>1</v>
      </c>
      <c r="O42" s="12">
        <v>0</v>
      </c>
      <c r="P42" s="12">
        <f t="shared" ca="1" si="5"/>
        <v>410</v>
      </c>
      <c r="Q42" s="12" t="str">
        <f t="shared" ca="1" si="6"/>
        <v>Dormant</v>
      </c>
      <c r="R42" s="12">
        <f t="shared" si="7"/>
        <v>51.666666666666664</v>
      </c>
      <c r="S42" s="12" t="str">
        <f t="shared" si="8"/>
        <v>High</v>
      </c>
      <c r="T42" s="12">
        <f t="shared" ca="1" si="9"/>
        <v>412</v>
      </c>
    </row>
    <row r="43" spans="2:20" x14ac:dyDescent="0.2">
      <c r="B43" s="21" t="s">
        <v>106</v>
      </c>
      <c r="C43" s="16">
        <v>52</v>
      </c>
      <c r="D43" s="17" t="s">
        <v>4</v>
      </c>
      <c r="E43" s="18">
        <v>818.55</v>
      </c>
      <c r="F43" s="19" t="s">
        <v>107</v>
      </c>
      <c r="G43" s="16">
        <v>51</v>
      </c>
      <c r="H43" s="16">
        <v>93</v>
      </c>
      <c r="I43" s="16">
        <v>4</v>
      </c>
      <c r="J43" s="17" t="s">
        <v>219</v>
      </c>
      <c r="K43" s="16">
        <v>1</v>
      </c>
      <c r="L43" s="16">
        <v>1</v>
      </c>
      <c r="M43" s="16">
        <v>0</v>
      </c>
      <c r="N43" s="16">
        <v>1</v>
      </c>
      <c r="O43" s="16">
        <v>0</v>
      </c>
      <c r="P43" s="16">
        <f t="shared" ca="1" si="5"/>
        <v>387</v>
      </c>
      <c r="Q43" s="16" t="str">
        <f t="shared" ca="1" si="6"/>
        <v>Dormant</v>
      </c>
      <c r="R43" s="16">
        <f t="shared" si="7"/>
        <v>49.333333333333336</v>
      </c>
      <c r="S43" s="16" t="str">
        <f t="shared" si="8"/>
        <v>Medium</v>
      </c>
      <c r="T43" s="16">
        <f t="shared" ca="1" si="9"/>
        <v>390</v>
      </c>
    </row>
    <row r="44" spans="2:20" x14ac:dyDescent="0.2">
      <c r="B44" s="20" t="s">
        <v>19</v>
      </c>
      <c r="C44" s="12">
        <v>40</v>
      </c>
      <c r="D44" s="13" t="s">
        <v>1</v>
      </c>
      <c r="E44" s="14">
        <v>813.98</v>
      </c>
      <c r="F44" s="15" t="s">
        <v>20</v>
      </c>
      <c r="G44" s="12">
        <v>95</v>
      </c>
      <c r="H44" s="12">
        <v>16</v>
      </c>
      <c r="I44" s="12">
        <v>48</v>
      </c>
      <c r="J44" s="13" t="s">
        <v>217</v>
      </c>
      <c r="K44" s="12">
        <v>0</v>
      </c>
      <c r="L44" s="12">
        <v>1</v>
      </c>
      <c r="M44" s="12">
        <v>0</v>
      </c>
      <c r="N44" s="12">
        <v>0</v>
      </c>
      <c r="O44" s="12">
        <v>0</v>
      </c>
      <c r="P44" s="12">
        <f t="shared" ca="1" si="5"/>
        <v>438</v>
      </c>
      <c r="Q44" s="12" t="str">
        <f t="shared" ca="1" si="6"/>
        <v>Dormant</v>
      </c>
      <c r="R44" s="12">
        <f t="shared" si="7"/>
        <v>53</v>
      </c>
      <c r="S44" s="12" t="str">
        <f t="shared" si="8"/>
        <v>High</v>
      </c>
      <c r="T44" s="12">
        <f t="shared" ca="1" si="9"/>
        <v>439</v>
      </c>
    </row>
    <row r="45" spans="2:20" x14ac:dyDescent="0.2">
      <c r="B45" s="21" t="s">
        <v>71</v>
      </c>
      <c r="C45" s="16">
        <v>44</v>
      </c>
      <c r="D45" s="17" t="s">
        <v>4</v>
      </c>
      <c r="E45" s="18">
        <v>811.02</v>
      </c>
      <c r="F45" s="19" t="s">
        <v>72</v>
      </c>
      <c r="G45" s="16">
        <v>6</v>
      </c>
      <c r="H45" s="16">
        <v>2</v>
      </c>
      <c r="I45" s="16">
        <v>50</v>
      </c>
      <c r="J45" s="17" t="s">
        <v>223</v>
      </c>
      <c r="K45" s="16">
        <v>0</v>
      </c>
      <c r="L45" s="16">
        <v>0</v>
      </c>
      <c r="M45" s="16">
        <v>1</v>
      </c>
      <c r="N45" s="16">
        <v>0</v>
      </c>
      <c r="O45" s="16">
        <v>0</v>
      </c>
      <c r="P45" s="16">
        <f t="shared" ca="1" si="5"/>
        <v>477</v>
      </c>
      <c r="Q45" s="16" t="str">
        <f t="shared" ca="1" si="6"/>
        <v>Dormant</v>
      </c>
      <c r="R45" s="16">
        <f t="shared" si="7"/>
        <v>19.333333333333332</v>
      </c>
      <c r="S45" s="16" t="str">
        <f t="shared" si="8"/>
        <v>Low</v>
      </c>
      <c r="T45" s="16">
        <f t="shared" ca="1" si="9"/>
        <v>478</v>
      </c>
    </row>
    <row r="46" spans="2:20" x14ac:dyDescent="0.2">
      <c r="B46" s="20" t="s">
        <v>130</v>
      </c>
      <c r="C46" s="12">
        <v>19</v>
      </c>
      <c r="D46" s="13" t="s">
        <v>1</v>
      </c>
      <c r="E46" s="14">
        <v>791.1</v>
      </c>
      <c r="F46" s="15" t="s">
        <v>131</v>
      </c>
      <c r="G46" s="12">
        <v>87</v>
      </c>
      <c r="H46" s="12">
        <v>46</v>
      </c>
      <c r="I46" s="12">
        <v>2</v>
      </c>
      <c r="J46" s="13" t="s">
        <v>219</v>
      </c>
      <c r="K46" s="12">
        <v>1</v>
      </c>
      <c r="L46" s="12">
        <v>1</v>
      </c>
      <c r="M46" s="12">
        <v>0</v>
      </c>
      <c r="N46" s="12">
        <v>0</v>
      </c>
      <c r="O46" s="12">
        <v>0</v>
      </c>
      <c r="P46" s="12">
        <f t="shared" ca="1" si="5"/>
        <v>244</v>
      </c>
      <c r="Q46" s="12" t="str">
        <f t="shared" ca="1" si="6"/>
        <v>Intermediate</v>
      </c>
      <c r="R46" s="12">
        <f t="shared" si="7"/>
        <v>45</v>
      </c>
      <c r="S46" s="12" t="str">
        <f t="shared" si="8"/>
        <v>Medium</v>
      </c>
      <c r="T46" s="12">
        <f t="shared" ca="1" si="9"/>
        <v>246</v>
      </c>
    </row>
    <row r="47" spans="2:20" x14ac:dyDescent="0.2">
      <c r="B47" s="21" t="s">
        <v>81</v>
      </c>
      <c r="C47" s="16">
        <v>65</v>
      </c>
      <c r="D47" s="17" t="s">
        <v>4</v>
      </c>
      <c r="E47" s="18">
        <v>780.69</v>
      </c>
      <c r="F47" s="19" t="s">
        <v>82</v>
      </c>
      <c r="G47" s="16">
        <v>78</v>
      </c>
      <c r="H47" s="16">
        <v>26</v>
      </c>
      <c r="I47" s="16">
        <v>26</v>
      </c>
      <c r="J47" s="17" t="s">
        <v>221</v>
      </c>
      <c r="K47" s="16">
        <v>1</v>
      </c>
      <c r="L47" s="16">
        <v>0</v>
      </c>
      <c r="M47" s="16">
        <v>0</v>
      </c>
      <c r="N47" s="16">
        <v>1</v>
      </c>
      <c r="O47" s="16">
        <v>1</v>
      </c>
      <c r="P47" s="16">
        <f t="shared" ca="1" si="5"/>
        <v>331</v>
      </c>
      <c r="Q47" s="16" t="str">
        <f t="shared" ca="1" si="6"/>
        <v>Intermediate</v>
      </c>
      <c r="R47" s="16">
        <f t="shared" si="7"/>
        <v>43.333333333333336</v>
      </c>
      <c r="S47" s="16" t="str">
        <f t="shared" si="8"/>
        <v>Medium</v>
      </c>
      <c r="T47" s="16">
        <f t="shared" ca="1" si="9"/>
        <v>334</v>
      </c>
    </row>
    <row r="48" spans="2:20" x14ac:dyDescent="0.2">
      <c r="B48" s="20" t="s">
        <v>159</v>
      </c>
      <c r="C48" s="12">
        <v>57</v>
      </c>
      <c r="D48" s="13" t="s">
        <v>1</v>
      </c>
      <c r="E48" s="14">
        <v>770.79</v>
      </c>
      <c r="F48" s="15" t="s">
        <v>18</v>
      </c>
      <c r="G48" s="12">
        <v>61</v>
      </c>
      <c r="H48" s="12">
        <v>90</v>
      </c>
      <c r="I48" s="12">
        <v>40</v>
      </c>
      <c r="J48" s="13" t="s">
        <v>218</v>
      </c>
      <c r="K48" s="12">
        <v>0</v>
      </c>
      <c r="L48" s="12">
        <v>0</v>
      </c>
      <c r="M48" s="12">
        <v>0</v>
      </c>
      <c r="N48" s="12">
        <v>1</v>
      </c>
      <c r="O48" s="12">
        <v>0</v>
      </c>
      <c r="P48" s="12">
        <f t="shared" ca="1" si="5"/>
        <v>145</v>
      </c>
      <c r="Q48" s="12" t="str">
        <f t="shared" ca="1" si="6"/>
        <v>Recent</v>
      </c>
      <c r="R48" s="12">
        <f t="shared" si="7"/>
        <v>63.666666666666664</v>
      </c>
      <c r="S48" s="12" t="str">
        <f t="shared" si="8"/>
        <v>High</v>
      </c>
      <c r="T48" s="12">
        <f t="shared" ca="1" si="9"/>
        <v>146</v>
      </c>
    </row>
    <row r="49" spans="2:20" x14ac:dyDescent="0.2">
      <c r="B49" s="21" t="s">
        <v>171</v>
      </c>
      <c r="C49" s="16">
        <v>45</v>
      </c>
      <c r="D49" s="17" t="s">
        <v>4</v>
      </c>
      <c r="E49" s="18">
        <v>762.98</v>
      </c>
      <c r="F49" s="19" t="s">
        <v>172</v>
      </c>
      <c r="G49" s="16">
        <v>42</v>
      </c>
      <c r="H49" s="16">
        <v>92</v>
      </c>
      <c r="I49" s="16">
        <v>44</v>
      </c>
      <c r="J49" s="17" t="s">
        <v>219</v>
      </c>
      <c r="K49" s="16">
        <v>1</v>
      </c>
      <c r="L49" s="16">
        <v>0</v>
      </c>
      <c r="M49" s="16">
        <v>0</v>
      </c>
      <c r="N49" s="16">
        <v>1</v>
      </c>
      <c r="O49" s="16">
        <v>1</v>
      </c>
      <c r="P49" s="16">
        <f t="shared" ca="1" si="5"/>
        <v>307</v>
      </c>
      <c r="Q49" s="16" t="str">
        <f t="shared" ca="1" si="6"/>
        <v>Intermediate</v>
      </c>
      <c r="R49" s="16">
        <f t="shared" si="7"/>
        <v>59.333333333333336</v>
      </c>
      <c r="S49" s="16" t="str">
        <f t="shared" si="8"/>
        <v>High</v>
      </c>
      <c r="T49" s="16">
        <f t="shared" ca="1" si="9"/>
        <v>310</v>
      </c>
    </row>
    <row r="50" spans="2:20" x14ac:dyDescent="0.2">
      <c r="B50" s="20" t="s">
        <v>21</v>
      </c>
      <c r="C50" s="12">
        <v>36</v>
      </c>
      <c r="D50" s="13" t="s">
        <v>1</v>
      </c>
      <c r="E50" s="14">
        <v>733.14</v>
      </c>
      <c r="F50" s="15" t="s">
        <v>22</v>
      </c>
      <c r="G50" s="12">
        <v>5</v>
      </c>
      <c r="H50" s="12">
        <v>20</v>
      </c>
      <c r="I50" s="12">
        <v>21</v>
      </c>
      <c r="J50" s="13" t="s">
        <v>225</v>
      </c>
      <c r="K50" s="12">
        <v>1</v>
      </c>
      <c r="L50" s="12">
        <v>1</v>
      </c>
      <c r="M50" s="12">
        <v>1</v>
      </c>
      <c r="N50" s="12">
        <v>0</v>
      </c>
      <c r="O50" s="12">
        <v>0</v>
      </c>
      <c r="P50" s="12">
        <f t="shared" ca="1" si="5"/>
        <v>153</v>
      </c>
      <c r="Q50" s="12" t="str">
        <f t="shared" ca="1" si="6"/>
        <v>Recent</v>
      </c>
      <c r="R50" s="12">
        <f t="shared" si="7"/>
        <v>15.333333333333334</v>
      </c>
      <c r="S50" s="12" t="str">
        <f t="shared" si="8"/>
        <v>Low</v>
      </c>
      <c r="T50" s="12">
        <f t="shared" ca="1" si="9"/>
        <v>156</v>
      </c>
    </row>
    <row r="51" spans="2:20" x14ac:dyDescent="0.2">
      <c r="B51" s="21" t="s">
        <v>25</v>
      </c>
      <c r="C51" s="16">
        <v>23</v>
      </c>
      <c r="D51" s="17" t="s">
        <v>1</v>
      </c>
      <c r="E51" s="18">
        <v>720</v>
      </c>
      <c r="F51" s="19" t="s">
        <v>26</v>
      </c>
      <c r="G51" s="16">
        <v>56</v>
      </c>
      <c r="H51" s="16">
        <v>48</v>
      </c>
      <c r="I51" s="16">
        <v>16</v>
      </c>
      <c r="J51" s="17" t="s">
        <v>225</v>
      </c>
      <c r="K51" s="16">
        <v>1</v>
      </c>
      <c r="L51" s="16">
        <v>0</v>
      </c>
      <c r="M51" s="16">
        <v>0</v>
      </c>
      <c r="N51" s="16">
        <v>0</v>
      </c>
      <c r="O51" s="16">
        <v>0</v>
      </c>
      <c r="P51" s="16">
        <f t="shared" ca="1" si="5"/>
        <v>498</v>
      </c>
      <c r="Q51" s="16" t="str">
        <f t="shared" ca="1" si="6"/>
        <v>Dormant</v>
      </c>
      <c r="R51" s="16">
        <f t="shared" si="7"/>
        <v>40</v>
      </c>
      <c r="S51" s="16" t="str">
        <f t="shared" si="8"/>
        <v>Medium</v>
      </c>
      <c r="T51" s="16">
        <f t="shared" ca="1" si="9"/>
        <v>499</v>
      </c>
    </row>
    <row r="52" spans="2:20" x14ac:dyDescent="0.2">
      <c r="B52" s="20" t="s">
        <v>104</v>
      </c>
      <c r="C52" s="12">
        <v>26</v>
      </c>
      <c r="D52" s="13" t="s">
        <v>4</v>
      </c>
      <c r="E52" s="14">
        <v>719.18</v>
      </c>
      <c r="F52" s="15" t="s">
        <v>76</v>
      </c>
      <c r="G52" s="12">
        <v>48</v>
      </c>
      <c r="H52" s="12">
        <v>26</v>
      </c>
      <c r="I52" s="12">
        <v>6</v>
      </c>
      <c r="J52" s="13" t="s">
        <v>222</v>
      </c>
      <c r="K52" s="12">
        <v>0</v>
      </c>
      <c r="L52" s="12">
        <v>0</v>
      </c>
      <c r="M52" s="12">
        <v>1</v>
      </c>
      <c r="N52" s="12">
        <v>1</v>
      </c>
      <c r="O52" s="12">
        <v>0</v>
      </c>
      <c r="P52" s="12">
        <f t="shared" ca="1" si="5"/>
        <v>212</v>
      </c>
      <c r="Q52" s="12" t="str">
        <f t="shared" ca="1" si="6"/>
        <v>Intermediate</v>
      </c>
      <c r="R52" s="12">
        <f t="shared" si="7"/>
        <v>26.666666666666668</v>
      </c>
      <c r="S52" s="12" t="str">
        <f t="shared" si="8"/>
        <v>Medium</v>
      </c>
      <c r="T52" s="12">
        <f t="shared" ca="1" si="9"/>
        <v>214</v>
      </c>
    </row>
    <row r="53" spans="2:20" x14ac:dyDescent="0.2">
      <c r="B53" s="21" t="s">
        <v>128</v>
      </c>
      <c r="C53" s="16">
        <v>36</v>
      </c>
      <c r="D53" s="17" t="s">
        <v>4</v>
      </c>
      <c r="E53" s="18">
        <v>684.76</v>
      </c>
      <c r="F53" s="19" t="s">
        <v>129</v>
      </c>
      <c r="G53" s="16">
        <v>52</v>
      </c>
      <c r="H53" s="16">
        <v>63</v>
      </c>
      <c r="I53" s="16">
        <v>50</v>
      </c>
      <c r="J53" s="17" t="s">
        <v>221</v>
      </c>
      <c r="K53" s="16">
        <v>0</v>
      </c>
      <c r="L53" s="16">
        <v>1</v>
      </c>
      <c r="M53" s="16">
        <v>1</v>
      </c>
      <c r="N53" s="16">
        <v>1</v>
      </c>
      <c r="O53" s="16">
        <v>1</v>
      </c>
      <c r="P53" s="16">
        <f t="shared" ca="1" si="5"/>
        <v>222</v>
      </c>
      <c r="Q53" s="16" t="str">
        <f t="shared" ca="1" si="6"/>
        <v>Intermediate</v>
      </c>
      <c r="R53" s="16">
        <f t="shared" si="7"/>
        <v>55</v>
      </c>
      <c r="S53" s="16" t="str">
        <f t="shared" si="8"/>
        <v>High</v>
      </c>
      <c r="T53" s="16">
        <f t="shared" ca="1" si="9"/>
        <v>226</v>
      </c>
    </row>
    <row r="54" spans="2:20" x14ac:dyDescent="0.2">
      <c r="B54" s="20" t="s">
        <v>61</v>
      </c>
      <c r="C54" s="12">
        <v>60</v>
      </c>
      <c r="D54" s="13" t="s">
        <v>4</v>
      </c>
      <c r="E54" s="14">
        <v>670.79</v>
      </c>
      <c r="F54" s="15" t="s">
        <v>62</v>
      </c>
      <c r="G54" s="12">
        <v>10</v>
      </c>
      <c r="H54" s="12">
        <v>15</v>
      </c>
      <c r="I54" s="12">
        <v>37</v>
      </c>
      <c r="J54" s="13" t="s">
        <v>222</v>
      </c>
      <c r="K54" s="12">
        <v>0</v>
      </c>
      <c r="L54" s="12">
        <v>0</v>
      </c>
      <c r="M54" s="12">
        <v>1</v>
      </c>
      <c r="N54" s="12">
        <v>1</v>
      </c>
      <c r="O54" s="12">
        <v>0</v>
      </c>
      <c r="P54" s="12">
        <f t="shared" ca="1" si="5"/>
        <v>332</v>
      </c>
      <c r="Q54" s="12" t="str">
        <f t="shared" ca="1" si="6"/>
        <v>Intermediate</v>
      </c>
      <c r="R54" s="12">
        <f t="shared" si="7"/>
        <v>20.666666666666668</v>
      </c>
      <c r="S54" s="12" t="str">
        <f t="shared" si="8"/>
        <v>Low</v>
      </c>
      <c r="T54" s="12">
        <f t="shared" ca="1" si="9"/>
        <v>334</v>
      </c>
    </row>
    <row r="55" spans="2:20" x14ac:dyDescent="0.2">
      <c r="B55" s="21" t="s">
        <v>181</v>
      </c>
      <c r="C55" s="16">
        <v>67</v>
      </c>
      <c r="D55" s="17" t="s">
        <v>4</v>
      </c>
      <c r="E55" s="18">
        <v>661.88</v>
      </c>
      <c r="F55" s="19" t="s">
        <v>182</v>
      </c>
      <c r="G55" s="16">
        <v>88</v>
      </c>
      <c r="H55" s="16">
        <v>93</v>
      </c>
      <c r="I55" s="16">
        <v>26</v>
      </c>
      <c r="J55" s="17" t="s">
        <v>223</v>
      </c>
      <c r="K55" s="16">
        <v>1</v>
      </c>
      <c r="L55" s="16">
        <v>0</v>
      </c>
      <c r="M55" s="16">
        <v>0</v>
      </c>
      <c r="N55" s="16">
        <v>0</v>
      </c>
      <c r="O55" s="16">
        <v>0</v>
      </c>
      <c r="P55" s="16">
        <f t="shared" ca="1" si="5"/>
        <v>460</v>
      </c>
      <c r="Q55" s="16" t="str">
        <f t="shared" ca="1" si="6"/>
        <v>Dormant</v>
      </c>
      <c r="R55" s="16">
        <f t="shared" si="7"/>
        <v>69</v>
      </c>
      <c r="S55" s="16" t="str">
        <f t="shared" si="8"/>
        <v>High</v>
      </c>
      <c r="T55" s="16">
        <f t="shared" ca="1" si="9"/>
        <v>461</v>
      </c>
    </row>
    <row r="56" spans="2:20" x14ac:dyDescent="0.2">
      <c r="B56" s="20" t="s">
        <v>134</v>
      </c>
      <c r="C56" s="12">
        <v>30</v>
      </c>
      <c r="D56" s="13" t="s">
        <v>4</v>
      </c>
      <c r="E56" s="14">
        <v>656.16</v>
      </c>
      <c r="F56" s="15" t="s">
        <v>135</v>
      </c>
      <c r="G56" s="12">
        <v>81</v>
      </c>
      <c r="H56" s="12">
        <v>14</v>
      </c>
      <c r="I56" s="12">
        <v>34</v>
      </c>
      <c r="J56" s="13" t="s">
        <v>221</v>
      </c>
      <c r="K56" s="12">
        <v>0</v>
      </c>
      <c r="L56" s="12">
        <v>1</v>
      </c>
      <c r="M56" s="12">
        <v>1</v>
      </c>
      <c r="N56" s="12">
        <v>1</v>
      </c>
      <c r="O56" s="12">
        <v>1</v>
      </c>
      <c r="P56" s="12">
        <f t="shared" ca="1" si="5"/>
        <v>288</v>
      </c>
      <c r="Q56" s="12" t="str">
        <f t="shared" ca="1" si="6"/>
        <v>Intermediate</v>
      </c>
      <c r="R56" s="12">
        <f t="shared" si="7"/>
        <v>43</v>
      </c>
      <c r="S56" s="12" t="str">
        <f t="shared" si="8"/>
        <v>Medium</v>
      </c>
      <c r="T56" s="12">
        <f t="shared" ca="1" si="9"/>
        <v>292</v>
      </c>
    </row>
    <row r="57" spans="2:20" x14ac:dyDescent="0.2">
      <c r="B57" s="21" t="s">
        <v>90</v>
      </c>
      <c r="C57" s="16">
        <v>44</v>
      </c>
      <c r="D57" s="17" t="s">
        <v>1</v>
      </c>
      <c r="E57" s="18">
        <v>654.67999999999995</v>
      </c>
      <c r="F57" s="19" t="s">
        <v>91</v>
      </c>
      <c r="G57" s="16">
        <v>71</v>
      </c>
      <c r="H57" s="16">
        <v>56</v>
      </c>
      <c r="I57" s="16">
        <v>4</v>
      </c>
      <c r="J57" s="17" t="s">
        <v>222</v>
      </c>
      <c r="K57" s="16">
        <v>0</v>
      </c>
      <c r="L57" s="16">
        <v>1</v>
      </c>
      <c r="M57" s="16">
        <v>0</v>
      </c>
      <c r="N57" s="16">
        <v>1</v>
      </c>
      <c r="O57" s="16">
        <v>1</v>
      </c>
      <c r="P57" s="16">
        <f t="shared" ca="1" si="5"/>
        <v>177</v>
      </c>
      <c r="Q57" s="16" t="str">
        <f t="shared" ca="1" si="6"/>
        <v>Recent</v>
      </c>
      <c r="R57" s="16">
        <f t="shared" si="7"/>
        <v>43.666666666666664</v>
      </c>
      <c r="S57" s="16" t="str">
        <f t="shared" si="8"/>
        <v>Medium</v>
      </c>
      <c r="T57" s="16">
        <f t="shared" ca="1" si="9"/>
        <v>180</v>
      </c>
    </row>
    <row r="58" spans="2:20" x14ac:dyDescent="0.2">
      <c r="B58" s="20" t="s">
        <v>49</v>
      </c>
      <c r="C58" s="12">
        <v>25</v>
      </c>
      <c r="D58" s="13" t="s">
        <v>4</v>
      </c>
      <c r="E58" s="14">
        <v>652.51</v>
      </c>
      <c r="F58" s="15" t="s">
        <v>50</v>
      </c>
      <c r="G58" s="12">
        <v>69</v>
      </c>
      <c r="H58" s="12">
        <v>82</v>
      </c>
      <c r="I58" s="12">
        <v>11</v>
      </c>
      <c r="J58" s="13" t="s">
        <v>221</v>
      </c>
      <c r="K58" s="12">
        <v>1</v>
      </c>
      <c r="L58" s="12">
        <v>1</v>
      </c>
      <c r="M58" s="12">
        <v>0</v>
      </c>
      <c r="N58" s="12">
        <v>0</v>
      </c>
      <c r="O58" s="12">
        <v>0</v>
      </c>
      <c r="P58" s="12">
        <f t="shared" ca="1" si="5"/>
        <v>453</v>
      </c>
      <c r="Q58" s="12" t="str">
        <f t="shared" ca="1" si="6"/>
        <v>Dormant</v>
      </c>
      <c r="R58" s="12">
        <f t="shared" si="7"/>
        <v>54</v>
      </c>
      <c r="S58" s="12" t="str">
        <f t="shared" si="8"/>
        <v>High</v>
      </c>
      <c r="T58" s="12">
        <f t="shared" ca="1" si="9"/>
        <v>455</v>
      </c>
    </row>
    <row r="59" spans="2:20" x14ac:dyDescent="0.2">
      <c r="B59" s="21" t="s">
        <v>120</v>
      </c>
      <c r="C59" s="16">
        <v>64</v>
      </c>
      <c r="D59" s="17" t="s">
        <v>1</v>
      </c>
      <c r="E59" s="18">
        <v>646.54999999999995</v>
      </c>
      <c r="F59" s="19" t="s">
        <v>121</v>
      </c>
      <c r="G59" s="16">
        <v>41</v>
      </c>
      <c r="H59" s="16">
        <v>92</v>
      </c>
      <c r="I59" s="16">
        <v>27</v>
      </c>
      <c r="J59" s="17" t="s">
        <v>221</v>
      </c>
      <c r="K59" s="16">
        <v>1</v>
      </c>
      <c r="L59" s="16">
        <v>0</v>
      </c>
      <c r="M59" s="16">
        <v>1</v>
      </c>
      <c r="N59" s="16">
        <v>0</v>
      </c>
      <c r="O59" s="16">
        <v>1</v>
      </c>
      <c r="P59" s="16">
        <f t="shared" ca="1" si="5"/>
        <v>491</v>
      </c>
      <c r="Q59" s="16" t="str">
        <f t="shared" ca="1" si="6"/>
        <v>Dormant</v>
      </c>
      <c r="R59" s="16">
        <f t="shared" si="7"/>
        <v>53.333333333333336</v>
      </c>
      <c r="S59" s="16" t="str">
        <f t="shared" si="8"/>
        <v>High</v>
      </c>
      <c r="T59" s="16">
        <f t="shared" ca="1" si="9"/>
        <v>494</v>
      </c>
    </row>
    <row r="60" spans="2:20" x14ac:dyDescent="0.2">
      <c r="B60" s="20" t="s">
        <v>47</v>
      </c>
      <c r="C60" s="12">
        <v>39</v>
      </c>
      <c r="D60" s="13" t="s">
        <v>1</v>
      </c>
      <c r="E60" s="14">
        <v>629.48</v>
      </c>
      <c r="F60" s="15" t="s">
        <v>48</v>
      </c>
      <c r="G60" s="12">
        <v>74</v>
      </c>
      <c r="H60" s="12">
        <v>60</v>
      </c>
      <c r="I60" s="12">
        <v>21</v>
      </c>
      <c r="J60" s="13" t="s">
        <v>216</v>
      </c>
      <c r="K60" s="12">
        <v>0</v>
      </c>
      <c r="L60" s="12">
        <v>0</v>
      </c>
      <c r="M60" s="12">
        <v>0</v>
      </c>
      <c r="N60" s="12">
        <v>1</v>
      </c>
      <c r="O60" s="12">
        <v>0</v>
      </c>
      <c r="P60" s="12">
        <f t="shared" ca="1" si="5"/>
        <v>421</v>
      </c>
      <c r="Q60" s="12" t="str">
        <f t="shared" ca="1" si="6"/>
        <v>Dormant</v>
      </c>
      <c r="R60" s="12">
        <f t="shared" si="7"/>
        <v>51.666666666666664</v>
      </c>
      <c r="S60" s="12" t="str">
        <f t="shared" si="8"/>
        <v>High</v>
      </c>
      <c r="T60" s="12">
        <f t="shared" ca="1" si="9"/>
        <v>422</v>
      </c>
    </row>
    <row r="61" spans="2:20" x14ac:dyDescent="0.2">
      <c r="B61" s="21" t="s">
        <v>153</v>
      </c>
      <c r="C61" s="16">
        <v>37</v>
      </c>
      <c r="D61" s="17" t="s">
        <v>4</v>
      </c>
      <c r="E61" s="18">
        <v>628.12</v>
      </c>
      <c r="F61" s="19" t="s">
        <v>154</v>
      </c>
      <c r="G61" s="16">
        <v>75</v>
      </c>
      <c r="H61" s="16">
        <v>37</v>
      </c>
      <c r="I61" s="16">
        <v>22</v>
      </c>
      <c r="J61" s="17" t="s">
        <v>222</v>
      </c>
      <c r="K61" s="16">
        <v>1</v>
      </c>
      <c r="L61" s="16">
        <v>0</v>
      </c>
      <c r="M61" s="16">
        <v>0</v>
      </c>
      <c r="N61" s="16">
        <v>0</v>
      </c>
      <c r="O61" s="16">
        <v>1</v>
      </c>
      <c r="P61" s="16">
        <f t="shared" ca="1" si="5"/>
        <v>356</v>
      </c>
      <c r="Q61" s="16" t="str">
        <f t="shared" ca="1" si="6"/>
        <v>Intermediate</v>
      </c>
      <c r="R61" s="16">
        <f t="shared" si="7"/>
        <v>44.666666666666664</v>
      </c>
      <c r="S61" s="16" t="str">
        <f t="shared" si="8"/>
        <v>Medium</v>
      </c>
      <c r="T61" s="16">
        <f t="shared" ca="1" si="9"/>
        <v>358</v>
      </c>
    </row>
    <row r="62" spans="2:20" x14ac:dyDescent="0.2">
      <c r="B62" s="20" t="s">
        <v>150</v>
      </c>
      <c r="C62" s="12">
        <v>43</v>
      </c>
      <c r="D62" s="13" t="s">
        <v>4</v>
      </c>
      <c r="E62" s="14">
        <v>626.82000000000005</v>
      </c>
      <c r="F62" s="15" t="s">
        <v>151</v>
      </c>
      <c r="G62" s="12">
        <v>38</v>
      </c>
      <c r="H62" s="12">
        <v>46</v>
      </c>
      <c r="I62" s="12">
        <v>2</v>
      </c>
      <c r="J62" s="13" t="s">
        <v>222</v>
      </c>
      <c r="K62" s="12">
        <v>0</v>
      </c>
      <c r="L62" s="12">
        <v>1</v>
      </c>
      <c r="M62" s="12">
        <v>1</v>
      </c>
      <c r="N62" s="12">
        <v>0</v>
      </c>
      <c r="O62" s="12">
        <v>1</v>
      </c>
      <c r="P62" s="12">
        <f t="shared" ca="1" si="5"/>
        <v>165</v>
      </c>
      <c r="Q62" s="12" t="str">
        <f t="shared" ca="1" si="6"/>
        <v>Recent</v>
      </c>
      <c r="R62" s="12">
        <f t="shared" si="7"/>
        <v>28.666666666666668</v>
      </c>
      <c r="S62" s="12" t="str">
        <f t="shared" si="8"/>
        <v>Medium</v>
      </c>
      <c r="T62" s="12">
        <f t="shared" ca="1" si="9"/>
        <v>168</v>
      </c>
    </row>
    <row r="63" spans="2:20" x14ac:dyDescent="0.2">
      <c r="B63" s="21" t="s">
        <v>100</v>
      </c>
      <c r="C63" s="16">
        <v>43</v>
      </c>
      <c r="D63" s="17" t="s">
        <v>1</v>
      </c>
      <c r="E63" s="18">
        <v>624.96</v>
      </c>
      <c r="F63" s="19" t="s">
        <v>101</v>
      </c>
      <c r="G63" s="16">
        <v>90</v>
      </c>
      <c r="H63" s="16">
        <v>36</v>
      </c>
      <c r="I63" s="16">
        <v>50</v>
      </c>
      <c r="J63" s="17" t="s">
        <v>223</v>
      </c>
      <c r="K63" s="16">
        <v>0</v>
      </c>
      <c r="L63" s="16">
        <v>0</v>
      </c>
      <c r="M63" s="16">
        <v>1</v>
      </c>
      <c r="N63" s="16">
        <v>0</v>
      </c>
      <c r="O63" s="16">
        <v>0</v>
      </c>
      <c r="P63" s="16">
        <f t="shared" ca="1" si="5"/>
        <v>497</v>
      </c>
      <c r="Q63" s="16" t="str">
        <f t="shared" ca="1" si="6"/>
        <v>Dormant</v>
      </c>
      <c r="R63" s="16">
        <f t="shared" si="7"/>
        <v>58.666666666666664</v>
      </c>
      <c r="S63" s="16" t="str">
        <f t="shared" si="8"/>
        <v>High</v>
      </c>
      <c r="T63" s="16">
        <f t="shared" ca="1" si="9"/>
        <v>498</v>
      </c>
    </row>
    <row r="64" spans="2:20" x14ac:dyDescent="0.2">
      <c r="B64" s="20" t="s">
        <v>89</v>
      </c>
      <c r="C64" s="12">
        <v>59</v>
      </c>
      <c r="D64" s="13" t="s">
        <v>4</v>
      </c>
      <c r="E64" s="14">
        <v>614.02</v>
      </c>
      <c r="F64" s="15" t="s">
        <v>18</v>
      </c>
      <c r="G64" s="12">
        <v>92</v>
      </c>
      <c r="H64" s="12">
        <v>57</v>
      </c>
      <c r="I64" s="12">
        <v>13</v>
      </c>
      <c r="J64" s="13" t="s">
        <v>216</v>
      </c>
      <c r="K64" s="12">
        <v>1</v>
      </c>
      <c r="L64" s="12">
        <v>1</v>
      </c>
      <c r="M64" s="12">
        <v>1</v>
      </c>
      <c r="N64" s="12">
        <v>0</v>
      </c>
      <c r="O64" s="12">
        <v>0</v>
      </c>
      <c r="P64" s="12">
        <f t="shared" ca="1" si="5"/>
        <v>145</v>
      </c>
      <c r="Q64" s="12" t="str">
        <f t="shared" ca="1" si="6"/>
        <v>Recent</v>
      </c>
      <c r="R64" s="12">
        <f t="shared" si="7"/>
        <v>54</v>
      </c>
      <c r="S64" s="12" t="str">
        <f t="shared" si="8"/>
        <v>High</v>
      </c>
      <c r="T64" s="12">
        <f t="shared" ca="1" si="9"/>
        <v>148</v>
      </c>
    </row>
    <row r="65" spans="2:20" x14ac:dyDescent="0.2">
      <c r="B65" s="21" t="s">
        <v>37</v>
      </c>
      <c r="C65" s="16">
        <v>18</v>
      </c>
      <c r="D65" s="17" t="s">
        <v>4</v>
      </c>
      <c r="E65" s="18">
        <v>599.74</v>
      </c>
      <c r="F65" s="19" t="s">
        <v>38</v>
      </c>
      <c r="G65" s="16">
        <v>2</v>
      </c>
      <c r="H65" s="16">
        <v>10</v>
      </c>
      <c r="I65" s="16">
        <v>45</v>
      </c>
      <c r="J65" s="17" t="s">
        <v>216</v>
      </c>
      <c r="K65" s="16">
        <v>0</v>
      </c>
      <c r="L65" s="16">
        <v>1</v>
      </c>
      <c r="M65" s="16">
        <v>0</v>
      </c>
      <c r="N65" s="16">
        <v>0</v>
      </c>
      <c r="O65" s="16">
        <v>0</v>
      </c>
      <c r="P65" s="16">
        <f t="shared" ca="1" si="5"/>
        <v>283</v>
      </c>
      <c r="Q65" s="16" t="str">
        <f t="shared" ca="1" si="6"/>
        <v>Intermediate</v>
      </c>
      <c r="R65" s="16">
        <f t="shared" si="7"/>
        <v>19</v>
      </c>
      <c r="S65" s="16" t="str">
        <f t="shared" si="8"/>
        <v>Low</v>
      </c>
      <c r="T65" s="16">
        <f t="shared" ca="1" si="9"/>
        <v>284</v>
      </c>
    </row>
    <row r="66" spans="2:20" x14ac:dyDescent="0.2">
      <c r="B66" s="20" t="s">
        <v>105</v>
      </c>
      <c r="C66" s="12">
        <v>39</v>
      </c>
      <c r="D66" s="13" t="s">
        <v>4</v>
      </c>
      <c r="E66" s="14">
        <v>595.16</v>
      </c>
      <c r="F66" s="15" t="s">
        <v>86</v>
      </c>
      <c r="G66" s="12">
        <v>36</v>
      </c>
      <c r="H66" s="12">
        <v>69</v>
      </c>
      <c r="I66" s="12">
        <v>30</v>
      </c>
      <c r="J66" s="13" t="s">
        <v>217</v>
      </c>
      <c r="K66" s="12">
        <v>1</v>
      </c>
      <c r="L66" s="12">
        <v>0</v>
      </c>
      <c r="M66" s="12">
        <v>0</v>
      </c>
      <c r="N66" s="12">
        <v>1</v>
      </c>
      <c r="O66" s="12">
        <v>1</v>
      </c>
      <c r="P66" s="12">
        <f t="shared" ca="1" si="5"/>
        <v>342</v>
      </c>
      <c r="Q66" s="12" t="str">
        <f t="shared" ca="1" si="6"/>
        <v>Intermediate</v>
      </c>
      <c r="R66" s="12">
        <f t="shared" si="7"/>
        <v>45</v>
      </c>
      <c r="S66" s="12" t="str">
        <f t="shared" si="8"/>
        <v>Medium</v>
      </c>
      <c r="T66" s="12">
        <f t="shared" ca="1" si="9"/>
        <v>345</v>
      </c>
    </row>
    <row r="67" spans="2:20" x14ac:dyDescent="0.2">
      <c r="B67" s="21" t="s">
        <v>157</v>
      </c>
      <c r="C67" s="16">
        <v>60</v>
      </c>
      <c r="D67" s="17" t="s">
        <v>4</v>
      </c>
      <c r="E67" s="18">
        <v>558.63</v>
      </c>
      <c r="F67" s="19" t="s">
        <v>158</v>
      </c>
      <c r="G67" s="16">
        <v>28</v>
      </c>
      <c r="H67" s="16">
        <v>69</v>
      </c>
      <c r="I67" s="16">
        <v>40</v>
      </c>
      <c r="J67" s="17" t="s">
        <v>216</v>
      </c>
      <c r="K67" s="16">
        <v>0</v>
      </c>
      <c r="L67" s="16">
        <v>0</v>
      </c>
      <c r="M67" s="16">
        <v>0</v>
      </c>
      <c r="N67" s="16">
        <v>1</v>
      </c>
      <c r="O67" s="16">
        <v>1</v>
      </c>
      <c r="P67" s="16">
        <f t="shared" ca="1" si="5"/>
        <v>243</v>
      </c>
      <c r="Q67" s="16" t="str">
        <f t="shared" ca="1" si="6"/>
        <v>Intermediate</v>
      </c>
      <c r="R67" s="16">
        <f t="shared" si="7"/>
        <v>45.666666666666664</v>
      </c>
      <c r="S67" s="16" t="str">
        <f t="shared" si="8"/>
        <v>Medium</v>
      </c>
      <c r="T67" s="16">
        <f t="shared" ca="1" si="9"/>
        <v>245</v>
      </c>
    </row>
    <row r="68" spans="2:20" x14ac:dyDescent="0.2">
      <c r="B68" s="20" t="s">
        <v>83</v>
      </c>
      <c r="C68" s="12">
        <v>51</v>
      </c>
      <c r="D68" s="13" t="s">
        <v>1</v>
      </c>
      <c r="E68" s="14">
        <v>539.24</v>
      </c>
      <c r="F68" s="15" t="s">
        <v>84</v>
      </c>
      <c r="G68" s="12">
        <v>80</v>
      </c>
      <c r="H68" s="12">
        <v>71</v>
      </c>
      <c r="I68" s="12">
        <v>8</v>
      </c>
      <c r="J68" s="13" t="s">
        <v>220</v>
      </c>
      <c r="K68" s="12">
        <v>0</v>
      </c>
      <c r="L68" s="12">
        <v>0</v>
      </c>
      <c r="M68" s="12">
        <v>0</v>
      </c>
      <c r="N68" s="12">
        <v>0</v>
      </c>
      <c r="O68" s="12">
        <v>1</v>
      </c>
      <c r="P68" s="12">
        <f t="shared" ref="P68:P103" ca="1" si="10">TODAY()-F68</f>
        <v>340</v>
      </c>
      <c r="Q68" s="12" t="str">
        <f t="shared" ref="Q68:Q99" ca="1" si="11">IF(P68&lt;=180,"Recent",IF(P68&lt;=360,"Intermediate","Dormant"))</f>
        <v>Intermediate</v>
      </c>
      <c r="R68" s="12">
        <f t="shared" ref="R68:R103" si="12">AVERAGE(G68,H68,I68)</f>
        <v>53</v>
      </c>
      <c r="S68" s="12" t="str">
        <f t="shared" ref="S68:S99" si="13">IF(R68&lt;=25,"Low",IF(R68&lt;=50,"Medium","High"))</f>
        <v>High</v>
      </c>
      <c r="T68" s="12">
        <f t="shared" ref="T68:T103" ca="1" si="14">SUM(K68,L68,M68,N68,O68,P68)</f>
        <v>341</v>
      </c>
    </row>
    <row r="69" spans="2:20" x14ac:dyDescent="0.2">
      <c r="B69" s="21" t="s">
        <v>142</v>
      </c>
      <c r="C69" s="16">
        <v>66</v>
      </c>
      <c r="D69" s="17" t="s">
        <v>4</v>
      </c>
      <c r="E69" s="18">
        <v>497.99</v>
      </c>
      <c r="F69" s="19" t="s">
        <v>143</v>
      </c>
      <c r="G69" s="16">
        <v>76</v>
      </c>
      <c r="H69" s="16">
        <v>67</v>
      </c>
      <c r="I69" s="16">
        <v>16</v>
      </c>
      <c r="J69" s="17" t="s">
        <v>217</v>
      </c>
      <c r="K69" s="16">
        <v>0</v>
      </c>
      <c r="L69" s="16">
        <v>0</v>
      </c>
      <c r="M69" s="16">
        <v>0</v>
      </c>
      <c r="N69" s="16">
        <v>1</v>
      </c>
      <c r="O69" s="16">
        <v>0</v>
      </c>
      <c r="P69" s="16">
        <f t="shared" ca="1" si="10"/>
        <v>287</v>
      </c>
      <c r="Q69" s="16" t="str">
        <f t="shared" ca="1" si="11"/>
        <v>Intermediate</v>
      </c>
      <c r="R69" s="16">
        <f t="shared" si="12"/>
        <v>53</v>
      </c>
      <c r="S69" s="16" t="str">
        <f t="shared" si="13"/>
        <v>High</v>
      </c>
      <c r="T69" s="16">
        <f t="shared" ca="1" si="14"/>
        <v>288</v>
      </c>
    </row>
    <row r="70" spans="2:20" x14ac:dyDescent="0.2">
      <c r="B70" s="20" t="s">
        <v>17</v>
      </c>
      <c r="C70" s="12">
        <v>60</v>
      </c>
      <c r="D70" s="13" t="s">
        <v>4</v>
      </c>
      <c r="E70" s="14">
        <v>486.37</v>
      </c>
      <c r="F70" s="15" t="s">
        <v>18</v>
      </c>
      <c r="G70" s="12">
        <v>27</v>
      </c>
      <c r="H70" s="12">
        <v>6</v>
      </c>
      <c r="I70" s="12">
        <v>26</v>
      </c>
      <c r="J70" s="13" t="s">
        <v>223</v>
      </c>
      <c r="K70" s="12">
        <v>0</v>
      </c>
      <c r="L70" s="12">
        <v>1</v>
      </c>
      <c r="M70" s="12">
        <v>1</v>
      </c>
      <c r="N70" s="12">
        <v>1</v>
      </c>
      <c r="O70" s="12">
        <v>0</v>
      </c>
      <c r="P70" s="12">
        <f t="shared" ca="1" si="10"/>
        <v>145</v>
      </c>
      <c r="Q70" s="12" t="str">
        <f t="shared" ca="1" si="11"/>
        <v>Recent</v>
      </c>
      <c r="R70" s="12">
        <f t="shared" si="12"/>
        <v>19.666666666666668</v>
      </c>
      <c r="S70" s="12" t="str">
        <f t="shared" si="13"/>
        <v>Low</v>
      </c>
      <c r="T70" s="12">
        <f t="shared" ca="1" si="14"/>
        <v>148</v>
      </c>
    </row>
    <row r="71" spans="2:20" x14ac:dyDescent="0.2">
      <c r="B71" s="21" t="s">
        <v>59</v>
      </c>
      <c r="C71" s="16">
        <v>35</v>
      </c>
      <c r="D71" s="17" t="s">
        <v>1</v>
      </c>
      <c r="E71" s="18">
        <v>479.36</v>
      </c>
      <c r="F71" s="19" t="s">
        <v>60</v>
      </c>
      <c r="G71" s="16">
        <v>31</v>
      </c>
      <c r="H71" s="16">
        <v>17</v>
      </c>
      <c r="I71" s="16">
        <v>36</v>
      </c>
      <c r="J71" s="17" t="s">
        <v>219</v>
      </c>
      <c r="K71" s="16">
        <v>0</v>
      </c>
      <c r="L71" s="16">
        <v>1</v>
      </c>
      <c r="M71" s="16">
        <v>1</v>
      </c>
      <c r="N71" s="16">
        <v>0</v>
      </c>
      <c r="O71" s="16">
        <v>1</v>
      </c>
      <c r="P71" s="16">
        <f t="shared" ca="1" si="10"/>
        <v>320</v>
      </c>
      <c r="Q71" s="16" t="str">
        <f t="shared" ca="1" si="11"/>
        <v>Intermediate</v>
      </c>
      <c r="R71" s="16">
        <f t="shared" si="12"/>
        <v>28</v>
      </c>
      <c r="S71" s="16" t="str">
        <f t="shared" si="13"/>
        <v>Medium</v>
      </c>
      <c r="T71" s="16">
        <f t="shared" ca="1" si="14"/>
        <v>323</v>
      </c>
    </row>
    <row r="72" spans="2:20" x14ac:dyDescent="0.2">
      <c r="B72" s="20" t="s">
        <v>3</v>
      </c>
      <c r="C72" s="12">
        <v>31</v>
      </c>
      <c r="D72" s="13" t="s">
        <v>4</v>
      </c>
      <c r="E72" s="14">
        <v>475.34</v>
      </c>
      <c r="F72" s="15" t="s">
        <v>5</v>
      </c>
      <c r="G72" s="12">
        <v>30</v>
      </c>
      <c r="H72" s="12">
        <v>28</v>
      </c>
      <c r="I72" s="12">
        <v>36</v>
      </c>
      <c r="J72" s="13" t="s">
        <v>221</v>
      </c>
      <c r="K72" s="12">
        <v>0</v>
      </c>
      <c r="L72" s="12">
        <v>0</v>
      </c>
      <c r="M72" s="12">
        <v>1</v>
      </c>
      <c r="N72" s="12">
        <v>1</v>
      </c>
      <c r="O72" s="12">
        <v>1</v>
      </c>
      <c r="P72" s="12">
        <f t="shared" ca="1" si="10"/>
        <v>478</v>
      </c>
      <c r="Q72" s="12" t="str">
        <f t="shared" ca="1" si="11"/>
        <v>Dormant</v>
      </c>
      <c r="R72" s="12">
        <f t="shared" si="12"/>
        <v>31.333333333333332</v>
      </c>
      <c r="S72" s="12" t="str">
        <f t="shared" si="13"/>
        <v>Medium</v>
      </c>
      <c r="T72" s="12">
        <f t="shared" ca="1" si="14"/>
        <v>481</v>
      </c>
    </row>
    <row r="73" spans="2:20" x14ac:dyDescent="0.2">
      <c r="B73" s="21" t="s">
        <v>35</v>
      </c>
      <c r="C73" s="16">
        <v>23</v>
      </c>
      <c r="D73" s="17" t="s">
        <v>1</v>
      </c>
      <c r="E73" s="18">
        <v>449.87</v>
      </c>
      <c r="F73" s="19" t="s">
        <v>36</v>
      </c>
      <c r="G73" s="16">
        <v>18</v>
      </c>
      <c r="H73" s="16">
        <v>85</v>
      </c>
      <c r="I73" s="16">
        <v>12</v>
      </c>
      <c r="J73" s="17" t="s">
        <v>216</v>
      </c>
      <c r="K73" s="16">
        <v>1</v>
      </c>
      <c r="L73" s="16">
        <v>0</v>
      </c>
      <c r="M73" s="16">
        <v>0</v>
      </c>
      <c r="N73" s="16">
        <v>0</v>
      </c>
      <c r="O73" s="16">
        <v>1</v>
      </c>
      <c r="P73" s="16">
        <f t="shared" ca="1" si="10"/>
        <v>150</v>
      </c>
      <c r="Q73" s="16" t="str">
        <f t="shared" ca="1" si="11"/>
        <v>Recent</v>
      </c>
      <c r="R73" s="16">
        <f t="shared" si="12"/>
        <v>38.333333333333336</v>
      </c>
      <c r="S73" s="16" t="str">
        <f t="shared" si="13"/>
        <v>Medium</v>
      </c>
      <c r="T73" s="16">
        <f t="shared" ca="1" si="14"/>
        <v>152</v>
      </c>
    </row>
    <row r="74" spans="2:20" x14ac:dyDescent="0.2">
      <c r="B74" s="20" t="s">
        <v>155</v>
      </c>
      <c r="C74" s="12">
        <v>69</v>
      </c>
      <c r="D74" s="13" t="s">
        <v>1</v>
      </c>
      <c r="E74" s="14">
        <v>428.25</v>
      </c>
      <c r="F74" s="15" t="s">
        <v>156</v>
      </c>
      <c r="G74" s="12">
        <v>67</v>
      </c>
      <c r="H74" s="12">
        <v>4</v>
      </c>
      <c r="I74" s="12">
        <v>31</v>
      </c>
      <c r="J74" s="13" t="s">
        <v>220</v>
      </c>
      <c r="K74" s="12">
        <v>1</v>
      </c>
      <c r="L74" s="12">
        <v>1</v>
      </c>
      <c r="M74" s="12">
        <v>1</v>
      </c>
      <c r="N74" s="12">
        <v>0</v>
      </c>
      <c r="O74" s="12">
        <v>0</v>
      </c>
      <c r="P74" s="12">
        <f t="shared" ca="1" si="10"/>
        <v>176</v>
      </c>
      <c r="Q74" s="12" t="str">
        <f t="shared" ca="1" si="11"/>
        <v>Recent</v>
      </c>
      <c r="R74" s="12">
        <f t="shared" si="12"/>
        <v>34</v>
      </c>
      <c r="S74" s="12" t="str">
        <f t="shared" si="13"/>
        <v>Medium</v>
      </c>
      <c r="T74" s="12">
        <f t="shared" ca="1" si="14"/>
        <v>179</v>
      </c>
    </row>
    <row r="75" spans="2:20" x14ac:dyDescent="0.2">
      <c r="B75" s="21" t="s">
        <v>173</v>
      </c>
      <c r="C75" s="16">
        <v>25</v>
      </c>
      <c r="D75" s="17" t="s">
        <v>4</v>
      </c>
      <c r="E75" s="18">
        <v>415.83</v>
      </c>
      <c r="F75" s="19" t="s">
        <v>24</v>
      </c>
      <c r="G75" s="16">
        <v>68</v>
      </c>
      <c r="H75" s="16">
        <v>62</v>
      </c>
      <c r="I75" s="16">
        <v>26</v>
      </c>
      <c r="J75" s="17" t="s">
        <v>221</v>
      </c>
      <c r="K75" s="16">
        <v>0</v>
      </c>
      <c r="L75" s="16">
        <v>0</v>
      </c>
      <c r="M75" s="16">
        <v>0</v>
      </c>
      <c r="N75" s="16">
        <v>1</v>
      </c>
      <c r="O75" s="16">
        <v>0</v>
      </c>
      <c r="P75" s="16">
        <f t="shared" ca="1" si="10"/>
        <v>486</v>
      </c>
      <c r="Q75" s="16" t="str">
        <f t="shared" ca="1" si="11"/>
        <v>Dormant</v>
      </c>
      <c r="R75" s="16">
        <f t="shared" si="12"/>
        <v>52</v>
      </c>
      <c r="S75" s="16" t="str">
        <f t="shared" si="13"/>
        <v>High</v>
      </c>
      <c r="T75" s="16">
        <f t="shared" ca="1" si="14"/>
        <v>487</v>
      </c>
    </row>
    <row r="76" spans="2:20" x14ac:dyDescent="0.2">
      <c r="B76" s="20" t="s">
        <v>63</v>
      </c>
      <c r="C76" s="12">
        <v>65</v>
      </c>
      <c r="D76" s="13" t="s">
        <v>4</v>
      </c>
      <c r="E76" s="14">
        <v>411.46</v>
      </c>
      <c r="F76" s="15" t="s">
        <v>64</v>
      </c>
      <c r="G76" s="12">
        <v>1</v>
      </c>
      <c r="H76" s="12">
        <v>41</v>
      </c>
      <c r="I76" s="12">
        <v>6</v>
      </c>
      <c r="J76" s="13" t="s">
        <v>221</v>
      </c>
      <c r="K76" s="12">
        <v>1</v>
      </c>
      <c r="L76" s="12">
        <v>0</v>
      </c>
      <c r="M76" s="12">
        <v>0</v>
      </c>
      <c r="N76" s="12">
        <v>1</v>
      </c>
      <c r="O76" s="12">
        <v>0</v>
      </c>
      <c r="P76" s="12">
        <f t="shared" ca="1" si="10"/>
        <v>221</v>
      </c>
      <c r="Q76" s="12" t="str">
        <f t="shared" ca="1" si="11"/>
        <v>Intermediate</v>
      </c>
      <c r="R76" s="12">
        <f t="shared" si="12"/>
        <v>16</v>
      </c>
      <c r="S76" s="12" t="str">
        <f t="shared" si="13"/>
        <v>Low</v>
      </c>
      <c r="T76" s="12">
        <f t="shared" ca="1" si="14"/>
        <v>223</v>
      </c>
    </row>
    <row r="77" spans="2:20" x14ac:dyDescent="0.2">
      <c r="B77" s="21" t="s">
        <v>87</v>
      </c>
      <c r="C77" s="16">
        <v>19</v>
      </c>
      <c r="D77" s="17" t="s">
        <v>1</v>
      </c>
      <c r="E77" s="18">
        <v>408.58</v>
      </c>
      <c r="F77" s="19" t="s">
        <v>88</v>
      </c>
      <c r="G77" s="16">
        <v>47</v>
      </c>
      <c r="H77" s="16">
        <v>51</v>
      </c>
      <c r="I77" s="16">
        <v>3</v>
      </c>
      <c r="J77" s="17" t="s">
        <v>220</v>
      </c>
      <c r="K77" s="16">
        <v>1</v>
      </c>
      <c r="L77" s="16">
        <v>1</v>
      </c>
      <c r="M77" s="16">
        <v>0</v>
      </c>
      <c r="N77" s="16">
        <v>1</v>
      </c>
      <c r="O77" s="16">
        <v>1</v>
      </c>
      <c r="P77" s="16">
        <f t="shared" ca="1" si="10"/>
        <v>386</v>
      </c>
      <c r="Q77" s="16" t="str">
        <f t="shared" ca="1" si="11"/>
        <v>Dormant</v>
      </c>
      <c r="R77" s="16">
        <f t="shared" si="12"/>
        <v>33.666666666666664</v>
      </c>
      <c r="S77" s="16" t="str">
        <f t="shared" si="13"/>
        <v>Medium</v>
      </c>
      <c r="T77" s="16">
        <f t="shared" ca="1" si="14"/>
        <v>390</v>
      </c>
    </row>
    <row r="78" spans="2:20" x14ac:dyDescent="0.2">
      <c r="B78" s="20" t="s">
        <v>73</v>
      </c>
      <c r="C78" s="12">
        <v>42</v>
      </c>
      <c r="D78" s="13" t="s">
        <v>4</v>
      </c>
      <c r="E78" s="14">
        <v>372.76</v>
      </c>
      <c r="F78" s="15" t="s">
        <v>74</v>
      </c>
      <c r="G78" s="12">
        <v>55</v>
      </c>
      <c r="H78" s="12">
        <v>4</v>
      </c>
      <c r="I78" s="12">
        <v>21</v>
      </c>
      <c r="J78" s="13" t="s">
        <v>225</v>
      </c>
      <c r="K78" s="12">
        <v>1</v>
      </c>
      <c r="L78" s="12">
        <v>1</v>
      </c>
      <c r="M78" s="12">
        <v>1</v>
      </c>
      <c r="N78" s="12">
        <v>0</v>
      </c>
      <c r="O78" s="12">
        <v>0</v>
      </c>
      <c r="P78" s="12">
        <f t="shared" ca="1" si="10"/>
        <v>269</v>
      </c>
      <c r="Q78" s="12" t="str">
        <f t="shared" ca="1" si="11"/>
        <v>Intermediate</v>
      </c>
      <c r="R78" s="12">
        <f t="shared" si="12"/>
        <v>26.666666666666668</v>
      </c>
      <c r="S78" s="12" t="str">
        <f t="shared" si="13"/>
        <v>Medium</v>
      </c>
      <c r="T78" s="12">
        <f t="shared" ca="1" si="14"/>
        <v>272</v>
      </c>
    </row>
    <row r="79" spans="2:20" x14ac:dyDescent="0.2">
      <c r="B79" s="21" t="s">
        <v>179</v>
      </c>
      <c r="C79" s="16">
        <v>34</v>
      </c>
      <c r="D79" s="17" t="s">
        <v>1</v>
      </c>
      <c r="E79" s="18">
        <v>371.86</v>
      </c>
      <c r="F79" s="19" t="s">
        <v>180</v>
      </c>
      <c r="G79" s="16">
        <v>33</v>
      </c>
      <c r="H79" s="16">
        <v>53</v>
      </c>
      <c r="I79" s="16">
        <v>23</v>
      </c>
      <c r="J79" s="17" t="s">
        <v>220</v>
      </c>
      <c r="K79" s="16">
        <v>0</v>
      </c>
      <c r="L79" s="16">
        <v>1</v>
      </c>
      <c r="M79" s="16">
        <v>1</v>
      </c>
      <c r="N79" s="16">
        <v>1</v>
      </c>
      <c r="O79" s="16">
        <v>0</v>
      </c>
      <c r="P79" s="16">
        <f t="shared" ca="1" si="10"/>
        <v>378</v>
      </c>
      <c r="Q79" s="16" t="str">
        <f t="shared" ca="1" si="11"/>
        <v>Dormant</v>
      </c>
      <c r="R79" s="16">
        <f t="shared" si="12"/>
        <v>36.333333333333336</v>
      </c>
      <c r="S79" s="16" t="str">
        <f t="shared" si="13"/>
        <v>Medium</v>
      </c>
      <c r="T79" s="16">
        <f t="shared" ca="1" si="14"/>
        <v>381</v>
      </c>
    </row>
    <row r="80" spans="2:20" x14ac:dyDescent="0.2">
      <c r="B80" s="20" t="s">
        <v>160</v>
      </c>
      <c r="C80" s="12">
        <v>33</v>
      </c>
      <c r="D80" s="13" t="s">
        <v>1</v>
      </c>
      <c r="E80" s="14">
        <v>371.61</v>
      </c>
      <c r="F80" s="15" t="s">
        <v>161</v>
      </c>
      <c r="G80" s="12">
        <v>46</v>
      </c>
      <c r="H80" s="12">
        <v>53</v>
      </c>
      <c r="I80" s="12">
        <v>50</v>
      </c>
      <c r="J80" s="13" t="s">
        <v>216</v>
      </c>
      <c r="K80" s="12">
        <v>1</v>
      </c>
      <c r="L80" s="12">
        <v>1</v>
      </c>
      <c r="M80" s="12">
        <v>0</v>
      </c>
      <c r="N80" s="12">
        <v>1</v>
      </c>
      <c r="O80" s="12">
        <v>1</v>
      </c>
      <c r="P80" s="12">
        <f t="shared" ca="1" si="10"/>
        <v>506</v>
      </c>
      <c r="Q80" s="12" t="str">
        <f t="shared" ca="1" si="11"/>
        <v>Dormant</v>
      </c>
      <c r="R80" s="12">
        <f t="shared" si="12"/>
        <v>49.666666666666664</v>
      </c>
      <c r="S80" s="12" t="str">
        <f t="shared" si="13"/>
        <v>Medium</v>
      </c>
      <c r="T80" s="12">
        <f t="shared" ca="1" si="14"/>
        <v>510</v>
      </c>
    </row>
    <row r="81" spans="2:20" x14ac:dyDescent="0.2">
      <c r="B81" s="21" t="s">
        <v>85</v>
      </c>
      <c r="C81" s="16">
        <v>35</v>
      </c>
      <c r="D81" s="17" t="s">
        <v>4</v>
      </c>
      <c r="E81" s="18">
        <v>370.57</v>
      </c>
      <c r="F81" s="19" t="s">
        <v>86</v>
      </c>
      <c r="G81" s="16">
        <v>40</v>
      </c>
      <c r="H81" s="16">
        <v>12</v>
      </c>
      <c r="I81" s="16">
        <v>0</v>
      </c>
      <c r="J81" s="17" t="s">
        <v>222</v>
      </c>
      <c r="K81" s="16">
        <v>0</v>
      </c>
      <c r="L81" s="16">
        <v>1</v>
      </c>
      <c r="M81" s="16">
        <v>0</v>
      </c>
      <c r="N81" s="16">
        <v>0</v>
      </c>
      <c r="O81" s="16">
        <v>0</v>
      </c>
      <c r="P81" s="16">
        <f t="shared" ca="1" si="10"/>
        <v>342</v>
      </c>
      <c r="Q81" s="16" t="str">
        <f t="shared" ca="1" si="11"/>
        <v>Intermediate</v>
      </c>
      <c r="R81" s="16">
        <f t="shared" si="12"/>
        <v>17.333333333333332</v>
      </c>
      <c r="S81" s="16" t="str">
        <f t="shared" si="13"/>
        <v>Low</v>
      </c>
      <c r="T81" s="16">
        <f t="shared" ca="1" si="14"/>
        <v>343</v>
      </c>
    </row>
    <row r="82" spans="2:20" x14ac:dyDescent="0.2">
      <c r="B82" s="20" t="s">
        <v>166</v>
      </c>
      <c r="C82" s="12">
        <v>47</v>
      </c>
      <c r="D82" s="13" t="s">
        <v>4</v>
      </c>
      <c r="E82" s="14">
        <v>328.33</v>
      </c>
      <c r="F82" s="15" t="s">
        <v>167</v>
      </c>
      <c r="G82" s="12">
        <v>90</v>
      </c>
      <c r="H82" s="12">
        <v>41</v>
      </c>
      <c r="I82" s="12">
        <v>33</v>
      </c>
      <c r="J82" s="13" t="s">
        <v>223</v>
      </c>
      <c r="K82" s="12">
        <v>1</v>
      </c>
      <c r="L82" s="12">
        <v>1</v>
      </c>
      <c r="M82" s="12">
        <v>0</v>
      </c>
      <c r="N82" s="12">
        <v>1</v>
      </c>
      <c r="O82" s="12">
        <v>0</v>
      </c>
      <c r="P82" s="12">
        <f t="shared" ca="1" si="10"/>
        <v>178</v>
      </c>
      <c r="Q82" s="12" t="str">
        <f t="shared" ca="1" si="11"/>
        <v>Recent</v>
      </c>
      <c r="R82" s="12">
        <f t="shared" si="12"/>
        <v>54.666666666666664</v>
      </c>
      <c r="S82" s="12" t="str">
        <f t="shared" si="13"/>
        <v>High</v>
      </c>
      <c r="T82" s="12">
        <f t="shared" ca="1" si="14"/>
        <v>181</v>
      </c>
    </row>
    <row r="83" spans="2:20" x14ac:dyDescent="0.2">
      <c r="B83" s="21" t="s">
        <v>16</v>
      </c>
      <c r="C83" s="16">
        <v>25</v>
      </c>
      <c r="D83" s="17" t="s">
        <v>4</v>
      </c>
      <c r="E83" s="18">
        <v>324.75</v>
      </c>
      <c r="F83" s="19" t="s">
        <v>2</v>
      </c>
      <c r="G83" s="16">
        <v>42</v>
      </c>
      <c r="H83" s="16">
        <v>37</v>
      </c>
      <c r="I83" s="16">
        <v>24</v>
      </c>
      <c r="J83" s="17" t="s">
        <v>225</v>
      </c>
      <c r="K83" s="16">
        <v>1</v>
      </c>
      <c r="L83" s="16">
        <v>0</v>
      </c>
      <c r="M83" s="16">
        <v>0</v>
      </c>
      <c r="N83" s="16">
        <v>1</v>
      </c>
      <c r="O83" s="16">
        <v>0</v>
      </c>
      <c r="P83" s="16">
        <f t="shared" ca="1" si="10"/>
        <v>370</v>
      </c>
      <c r="Q83" s="16" t="str">
        <f t="shared" ca="1" si="11"/>
        <v>Dormant</v>
      </c>
      <c r="R83" s="16">
        <f t="shared" si="12"/>
        <v>34.333333333333336</v>
      </c>
      <c r="S83" s="16" t="str">
        <f t="shared" si="13"/>
        <v>Medium</v>
      </c>
      <c r="T83" s="16">
        <f t="shared" ca="1" si="14"/>
        <v>372</v>
      </c>
    </row>
    <row r="84" spans="2:20" x14ac:dyDescent="0.2">
      <c r="B84" s="20" t="s">
        <v>110</v>
      </c>
      <c r="C84" s="12">
        <v>26</v>
      </c>
      <c r="D84" s="13" t="s">
        <v>4</v>
      </c>
      <c r="E84" s="14">
        <v>291.36</v>
      </c>
      <c r="F84" s="15" t="s">
        <v>111</v>
      </c>
      <c r="G84" s="12">
        <v>25</v>
      </c>
      <c r="H84" s="12">
        <v>20</v>
      </c>
      <c r="I84" s="12">
        <v>50</v>
      </c>
      <c r="J84" s="13" t="s">
        <v>219</v>
      </c>
      <c r="K84" s="12">
        <v>1</v>
      </c>
      <c r="L84" s="12">
        <v>1</v>
      </c>
      <c r="M84" s="12">
        <v>1</v>
      </c>
      <c r="N84" s="12">
        <v>0</v>
      </c>
      <c r="O84" s="12">
        <v>0</v>
      </c>
      <c r="P84" s="12">
        <f t="shared" ca="1" si="10"/>
        <v>412</v>
      </c>
      <c r="Q84" s="12" t="str">
        <f t="shared" ca="1" si="11"/>
        <v>Dormant</v>
      </c>
      <c r="R84" s="12">
        <f t="shared" si="12"/>
        <v>31.666666666666668</v>
      </c>
      <c r="S84" s="12" t="str">
        <f t="shared" si="13"/>
        <v>Medium</v>
      </c>
      <c r="T84" s="12">
        <f t="shared" ca="1" si="14"/>
        <v>415</v>
      </c>
    </row>
    <row r="85" spans="2:20" x14ac:dyDescent="0.2">
      <c r="B85" s="21" t="s">
        <v>69</v>
      </c>
      <c r="C85" s="16">
        <v>37</v>
      </c>
      <c r="D85" s="17" t="s">
        <v>1</v>
      </c>
      <c r="E85" s="18">
        <v>269.94</v>
      </c>
      <c r="F85" s="19" t="s">
        <v>70</v>
      </c>
      <c r="G85" s="16">
        <v>61</v>
      </c>
      <c r="H85" s="16">
        <v>89</v>
      </c>
      <c r="I85" s="16">
        <v>13</v>
      </c>
      <c r="J85" s="17" t="s">
        <v>219</v>
      </c>
      <c r="K85" s="16">
        <v>0</v>
      </c>
      <c r="L85" s="16">
        <v>0</v>
      </c>
      <c r="M85" s="16">
        <v>0</v>
      </c>
      <c r="N85" s="16">
        <v>0</v>
      </c>
      <c r="O85" s="16">
        <v>1</v>
      </c>
      <c r="P85" s="16">
        <f t="shared" ca="1" si="10"/>
        <v>377</v>
      </c>
      <c r="Q85" s="16" t="str">
        <f t="shared" ca="1" si="11"/>
        <v>Dormant</v>
      </c>
      <c r="R85" s="16">
        <f t="shared" si="12"/>
        <v>54.333333333333336</v>
      </c>
      <c r="S85" s="16" t="str">
        <f t="shared" si="13"/>
        <v>High</v>
      </c>
      <c r="T85" s="16">
        <f t="shared" ca="1" si="14"/>
        <v>378</v>
      </c>
    </row>
    <row r="86" spans="2:20" x14ac:dyDescent="0.2">
      <c r="B86" s="20" t="s">
        <v>136</v>
      </c>
      <c r="C86" s="12">
        <v>47</v>
      </c>
      <c r="D86" s="13" t="s">
        <v>4</v>
      </c>
      <c r="E86" s="14">
        <v>261.52</v>
      </c>
      <c r="F86" s="15" t="s">
        <v>137</v>
      </c>
      <c r="G86" s="12">
        <v>100</v>
      </c>
      <c r="H86" s="12">
        <v>3</v>
      </c>
      <c r="I86" s="12">
        <v>4</v>
      </c>
      <c r="J86" s="13" t="s">
        <v>218</v>
      </c>
      <c r="K86" s="12">
        <v>0</v>
      </c>
      <c r="L86" s="12">
        <v>0</v>
      </c>
      <c r="M86" s="12">
        <v>1</v>
      </c>
      <c r="N86" s="12">
        <v>0</v>
      </c>
      <c r="O86" s="12">
        <v>0</v>
      </c>
      <c r="P86" s="12">
        <f t="shared" ca="1" si="10"/>
        <v>434</v>
      </c>
      <c r="Q86" s="12" t="str">
        <f t="shared" ca="1" si="11"/>
        <v>Dormant</v>
      </c>
      <c r="R86" s="12">
        <f t="shared" si="12"/>
        <v>35.666666666666664</v>
      </c>
      <c r="S86" s="12" t="str">
        <f t="shared" si="13"/>
        <v>Medium</v>
      </c>
      <c r="T86" s="12">
        <f t="shared" ca="1" si="14"/>
        <v>435</v>
      </c>
    </row>
    <row r="87" spans="2:20" x14ac:dyDescent="0.2">
      <c r="B87" s="21" t="s">
        <v>102</v>
      </c>
      <c r="C87" s="16">
        <v>54</v>
      </c>
      <c r="D87" s="17" t="s">
        <v>4</v>
      </c>
      <c r="E87" s="18">
        <v>258.17</v>
      </c>
      <c r="F87" s="19" t="s">
        <v>103</v>
      </c>
      <c r="G87" s="16">
        <v>71</v>
      </c>
      <c r="H87" s="16">
        <v>45</v>
      </c>
      <c r="I87" s="16">
        <v>49</v>
      </c>
      <c r="J87" s="17" t="s">
        <v>222</v>
      </c>
      <c r="K87" s="16">
        <v>1</v>
      </c>
      <c r="L87" s="16">
        <v>1</v>
      </c>
      <c r="M87" s="16">
        <v>0</v>
      </c>
      <c r="N87" s="16">
        <v>1</v>
      </c>
      <c r="O87" s="16">
        <v>1</v>
      </c>
      <c r="P87" s="16">
        <f t="shared" ca="1" si="10"/>
        <v>336</v>
      </c>
      <c r="Q87" s="16" t="str">
        <f t="shared" ca="1" si="11"/>
        <v>Intermediate</v>
      </c>
      <c r="R87" s="16">
        <f t="shared" si="12"/>
        <v>55</v>
      </c>
      <c r="S87" s="16" t="str">
        <f t="shared" si="13"/>
        <v>High</v>
      </c>
      <c r="T87" s="16">
        <f t="shared" ca="1" si="14"/>
        <v>340</v>
      </c>
    </row>
    <row r="88" spans="2:20" x14ac:dyDescent="0.2">
      <c r="B88" s="20" t="s">
        <v>112</v>
      </c>
      <c r="C88" s="12">
        <v>51</v>
      </c>
      <c r="D88" s="13" t="s">
        <v>1</v>
      </c>
      <c r="E88" s="14">
        <v>246.25</v>
      </c>
      <c r="F88" s="15" t="s">
        <v>113</v>
      </c>
      <c r="G88" s="12">
        <v>69</v>
      </c>
      <c r="H88" s="12">
        <v>85</v>
      </c>
      <c r="I88" s="12">
        <v>46</v>
      </c>
      <c r="J88" s="13" t="s">
        <v>224</v>
      </c>
      <c r="K88" s="12">
        <v>1</v>
      </c>
      <c r="L88" s="12">
        <v>1</v>
      </c>
      <c r="M88" s="12">
        <v>1</v>
      </c>
      <c r="N88" s="12">
        <v>0</v>
      </c>
      <c r="O88" s="12">
        <v>1</v>
      </c>
      <c r="P88" s="12">
        <f t="shared" ca="1" si="10"/>
        <v>190</v>
      </c>
      <c r="Q88" s="12" t="str">
        <f t="shared" ca="1" si="11"/>
        <v>Intermediate</v>
      </c>
      <c r="R88" s="12">
        <f t="shared" si="12"/>
        <v>66.666666666666671</v>
      </c>
      <c r="S88" s="12" t="str">
        <f t="shared" si="13"/>
        <v>High</v>
      </c>
      <c r="T88" s="12">
        <f t="shared" ca="1" si="14"/>
        <v>194</v>
      </c>
    </row>
    <row r="89" spans="2:20" x14ac:dyDescent="0.2">
      <c r="B89" s="21" t="s">
        <v>146</v>
      </c>
      <c r="C89" s="16">
        <v>24</v>
      </c>
      <c r="D89" s="17" t="s">
        <v>1</v>
      </c>
      <c r="E89" s="18">
        <v>243.23</v>
      </c>
      <c r="F89" s="19" t="s">
        <v>147</v>
      </c>
      <c r="G89" s="16">
        <v>19</v>
      </c>
      <c r="H89" s="16">
        <v>34</v>
      </c>
      <c r="I89" s="16">
        <v>18</v>
      </c>
      <c r="J89" s="17" t="s">
        <v>225</v>
      </c>
      <c r="K89" s="16">
        <v>1</v>
      </c>
      <c r="L89" s="16">
        <v>0</v>
      </c>
      <c r="M89" s="16">
        <v>1</v>
      </c>
      <c r="N89" s="16">
        <v>0</v>
      </c>
      <c r="O89" s="16">
        <v>1</v>
      </c>
      <c r="P89" s="16">
        <f t="shared" ca="1" si="10"/>
        <v>166</v>
      </c>
      <c r="Q89" s="16" t="str">
        <f t="shared" ca="1" si="11"/>
        <v>Recent</v>
      </c>
      <c r="R89" s="16">
        <f t="shared" si="12"/>
        <v>23.666666666666668</v>
      </c>
      <c r="S89" s="16" t="str">
        <f t="shared" si="13"/>
        <v>Low</v>
      </c>
      <c r="T89" s="16">
        <f t="shared" ca="1" si="14"/>
        <v>169</v>
      </c>
    </row>
    <row r="90" spans="2:20" x14ac:dyDescent="0.2">
      <c r="B90" s="20" t="s">
        <v>27</v>
      </c>
      <c r="C90" s="12">
        <v>40</v>
      </c>
      <c r="D90" s="13" t="s">
        <v>4</v>
      </c>
      <c r="E90" s="14">
        <v>239.86</v>
      </c>
      <c r="F90" s="15" t="s">
        <v>28</v>
      </c>
      <c r="G90" s="12">
        <v>35</v>
      </c>
      <c r="H90" s="12">
        <v>43</v>
      </c>
      <c r="I90" s="12">
        <v>38</v>
      </c>
      <c r="J90" s="13" t="s">
        <v>218</v>
      </c>
      <c r="K90" s="12">
        <v>1</v>
      </c>
      <c r="L90" s="12">
        <v>0</v>
      </c>
      <c r="M90" s="12">
        <v>1</v>
      </c>
      <c r="N90" s="12">
        <v>0</v>
      </c>
      <c r="O90" s="12">
        <v>1</v>
      </c>
      <c r="P90" s="12">
        <f t="shared" ca="1" si="10"/>
        <v>396</v>
      </c>
      <c r="Q90" s="12" t="str">
        <f t="shared" ca="1" si="11"/>
        <v>Dormant</v>
      </c>
      <c r="R90" s="12">
        <f t="shared" si="12"/>
        <v>38.666666666666664</v>
      </c>
      <c r="S90" s="12" t="str">
        <f t="shared" si="13"/>
        <v>Medium</v>
      </c>
      <c r="T90" s="12">
        <f t="shared" ca="1" si="14"/>
        <v>399</v>
      </c>
    </row>
    <row r="91" spans="2:20" x14ac:dyDescent="0.2">
      <c r="B91" s="21" t="s">
        <v>79</v>
      </c>
      <c r="C91" s="16">
        <v>28</v>
      </c>
      <c r="D91" s="17" t="s">
        <v>4</v>
      </c>
      <c r="E91" s="18">
        <v>231.17</v>
      </c>
      <c r="F91" s="19" t="s">
        <v>80</v>
      </c>
      <c r="G91" s="16">
        <v>73</v>
      </c>
      <c r="H91" s="16">
        <v>20</v>
      </c>
      <c r="I91" s="16">
        <v>27</v>
      </c>
      <c r="J91" s="17" t="s">
        <v>224</v>
      </c>
      <c r="K91" s="16">
        <v>1</v>
      </c>
      <c r="L91" s="16">
        <v>0</v>
      </c>
      <c r="M91" s="16">
        <v>1</v>
      </c>
      <c r="N91" s="16">
        <v>1</v>
      </c>
      <c r="O91" s="16">
        <v>1</v>
      </c>
      <c r="P91" s="16">
        <f t="shared" ca="1" si="10"/>
        <v>204</v>
      </c>
      <c r="Q91" s="16" t="str">
        <f t="shared" ca="1" si="11"/>
        <v>Intermediate</v>
      </c>
      <c r="R91" s="16">
        <f t="shared" si="12"/>
        <v>40</v>
      </c>
      <c r="S91" s="16" t="str">
        <f t="shared" si="13"/>
        <v>Medium</v>
      </c>
      <c r="T91" s="16">
        <f t="shared" ca="1" si="14"/>
        <v>208</v>
      </c>
    </row>
    <row r="92" spans="2:20" x14ac:dyDescent="0.2">
      <c r="B92" s="20" t="s">
        <v>0</v>
      </c>
      <c r="C92" s="12">
        <v>50</v>
      </c>
      <c r="D92" s="13" t="s">
        <v>1</v>
      </c>
      <c r="E92" s="14">
        <v>213.54</v>
      </c>
      <c r="F92" s="15" t="s">
        <v>2</v>
      </c>
      <c r="G92" s="12">
        <v>16</v>
      </c>
      <c r="H92" s="12">
        <v>14</v>
      </c>
      <c r="I92" s="12">
        <v>29</v>
      </c>
      <c r="J92" s="13" t="s">
        <v>225</v>
      </c>
      <c r="K92" s="12">
        <v>1</v>
      </c>
      <c r="L92" s="12">
        <v>1</v>
      </c>
      <c r="M92" s="12">
        <v>0</v>
      </c>
      <c r="N92" s="12">
        <v>0</v>
      </c>
      <c r="O92" s="12">
        <v>0</v>
      </c>
      <c r="P92" s="12">
        <f t="shared" ca="1" si="10"/>
        <v>370</v>
      </c>
      <c r="Q92" s="12" t="str">
        <f t="shared" ca="1" si="11"/>
        <v>Dormant</v>
      </c>
      <c r="R92" s="12">
        <f t="shared" si="12"/>
        <v>19.666666666666668</v>
      </c>
      <c r="S92" s="12" t="str">
        <f t="shared" si="13"/>
        <v>Low</v>
      </c>
      <c r="T92" s="12">
        <f t="shared" ca="1" si="14"/>
        <v>372</v>
      </c>
    </row>
    <row r="93" spans="2:20" x14ac:dyDescent="0.2">
      <c r="B93" s="21" t="s">
        <v>92</v>
      </c>
      <c r="C93" s="16">
        <v>32</v>
      </c>
      <c r="D93" s="17" t="s">
        <v>1</v>
      </c>
      <c r="E93" s="18">
        <v>210.26</v>
      </c>
      <c r="F93" s="19" t="s">
        <v>93</v>
      </c>
      <c r="G93" s="16">
        <v>61</v>
      </c>
      <c r="H93" s="16">
        <v>5</v>
      </c>
      <c r="I93" s="16">
        <v>5</v>
      </c>
      <c r="J93" s="17" t="s">
        <v>223</v>
      </c>
      <c r="K93" s="16">
        <v>1</v>
      </c>
      <c r="L93" s="16">
        <v>1</v>
      </c>
      <c r="M93" s="16">
        <v>0</v>
      </c>
      <c r="N93" s="16">
        <v>1</v>
      </c>
      <c r="O93" s="16">
        <v>0</v>
      </c>
      <c r="P93" s="16">
        <f t="shared" ca="1" si="10"/>
        <v>203</v>
      </c>
      <c r="Q93" s="16" t="str">
        <f t="shared" ca="1" si="11"/>
        <v>Intermediate</v>
      </c>
      <c r="R93" s="16">
        <f t="shared" si="12"/>
        <v>23.666666666666668</v>
      </c>
      <c r="S93" s="16" t="str">
        <f t="shared" si="13"/>
        <v>Low</v>
      </c>
      <c r="T93" s="16">
        <f t="shared" ca="1" si="14"/>
        <v>206</v>
      </c>
    </row>
    <row r="94" spans="2:20" x14ac:dyDescent="0.2">
      <c r="B94" s="20" t="s">
        <v>45</v>
      </c>
      <c r="C94" s="12">
        <v>50</v>
      </c>
      <c r="D94" s="13" t="s">
        <v>4</v>
      </c>
      <c r="E94" s="14">
        <v>208.49</v>
      </c>
      <c r="F94" s="15" t="s">
        <v>46</v>
      </c>
      <c r="G94" s="12">
        <v>44</v>
      </c>
      <c r="H94" s="12">
        <v>33</v>
      </c>
      <c r="I94" s="12">
        <v>25</v>
      </c>
      <c r="J94" s="13" t="s">
        <v>219</v>
      </c>
      <c r="K94" s="12">
        <v>1</v>
      </c>
      <c r="L94" s="12">
        <v>1</v>
      </c>
      <c r="M94" s="12">
        <v>0</v>
      </c>
      <c r="N94" s="12">
        <v>1</v>
      </c>
      <c r="O94" s="12">
        <v>0</v>
      </c>
      <c r="P94" s="12">
        <f t="shared" ca="1" si="10"/>
        <v>390</v>
      </c>
      <c r="Q94" s="12" t="str">
        <f t="shared" ca="1" si="11"/>
        <v>Dormant</v>
      </c>
      <c r="R94" s="12">
        <f t="shared" si="12"/>
        <v>34</v>
      </c>
      <c r="S94" s="12" t="str">
        <f t="shared" si="13"/>
        <v>Medium</v>
      </c>
      <c r="T94" s="12">
        <f t="shared" ca="1" si="14"/>
        <v>393</v>
      </c>
    </row>
    <row r="95" spans="2:20" x14ac:dyDescent="0.2">
      <c r="B95" s="21" t="s">
        <v>148</v>
      </c>
      <c r="C95" s="16">
        <v>46</v>
      </c>
      <c r="D95" s="17" t="s">
        <v>4</v>
      </c>
      <c r="E95" s="18">
        <v>182.68</v>
      </c>
      <c r="F95" s="19" t="s">
        <v>149</v>
      </c>
      <c r="G95" s="16">
        <v>19</v>
      </c>
      <c r="H95" s="16">
        <v>22</v>
      </c>
      <c r="I95" s="16">
        <v>21</v>
      </c>
      <c r="J95" s="17" t="s">
        <v>219</v>
      </c>
      <c r="K95" s="16">
        <v>0</v>
      </c>
      <c r="L95" s="16">
        <v>0</v>
      </c>
      <c r="M95" s="16">
        <v>1</v>
      </c>
      <c r="N95" s="16">
        <v>1</v>
      </c>
      <c r="O95" s="16">
        <v>0</v>
      </c>
      <c r="P95" s="16">
        <f t="shared" ca="1" si="10"/>
        <v>404</v>
      </c>
      <c r="Q95" s="16" t="str">
        <f t="shared" ca="1" si="11"/>
        <v>Dormant</v>
      </c>
      <c r="R95" s="16">
        <f t="shared" si="12"/>
        <v>20.666666666666668</v>
      </c>
      <c r="S95" s="16" t="str">
        <f t="shared" si="13"/>
        <v>Low</v>
      </c>
      <c r="T95" s="16">
        <f t="shared" ca="1" si="14"/>
        <v>406</v>
      </c>
    </row>
    <row r="96" spans="2:20" x14ac:dyDescent="0.2">
      <c r="B96" s="20" t="s">
        <v>118</v>
      </c>
      <c r="C96" s="12">
        <v>45</v>
      </c>
      <c r="D96" s="13" t="s">
        <v>4</v>
      </c>
      <c r="E96" s="14">
        <v>139.59</v>
      </c>
      <c r="F96" s="15" t="s">
        <v>5</v>
      </c>
      <c r="G96" s="12">
        <v>96</v>
      </c>
      <c r="H96" s="12">
        <v>17</v>
      </c>
      <c r="I96" s="12">
        <v>35</v>
      </c>
      <c r="J96" s="13" t="s">
        <v>225</v>
      </c>
      <c r="K96" s="12">
        <v>0</v>
      </c>
      <c r="L96" s="12">
        <v>1</v>
      </c>
      <c r="M96" s="12">
        <v>1</v>
      </c>
      <c r="N96" s="12">
        <v>0</v>
      </c>
      <c r="O96" s="12">
        <v>0</v>
      </c>
      <c r="P96" s="12">
        <f t="shared" ca="1" si="10"/>
        <v>478</v>
      </c>
      <c r="Q96" s="12" t="str">
        <f t="shared" ca="1" si="11"/>
        <v>Dormant</v>
      </c>
      <c r="R96" s="12">
        <f t="shared" si="12"/>
        <v>49.333333333333336</v>
      </c>
      <c r="S96" s="12" t="str">
        <f t="shared" si="13"/>
        <v>Medium</v>
      </c>
      <c r="T96" s="12">
        <f t="shared" ca="1" si="14"/>
        <v>480</v>
      </c>
    </row>
    <row r="97" spans="2:20" x14ac:dyDescent="0.2">
      <c r="B97" s="21" t="s">
        <v>175</v>
      </c>
      <c r="C97" s="16">
        <v>29</v>
      </c>
      <c r="D97" s="17" t="s">
        <v>1</v>
      </c>
      <c r="E97" s="18">
        <v>101.36</v>
      </c>
      <c r="F97" s="19" t="s">
        <v>176</v>
      </c>
      <c r="G97" s="16">
        <v>57</v>
      </c>
      <c r="H97" s="16">
        <v>6</v>
      </c>
      <c r="I97" s="16">
        <v>32</v>
      </c>
      <c r="J97" s="17" t="s">
        <v>216</v>
      </c>
      <c r="K97" s="16">
        <v>0</v>
      </c>
      <c r="L97" s="16">
        <v>1</v>
      </c>
      <c r="M97" s="16">
        <v>1</v>
      </c>
      <c r="N97" s="16">
        <v>1</v>
      </c>
      <c r="O97" s="16">
        <v>0</v>
      </c>
      <c r="P97" s="16">
        <f t="shared" ca="1" si="10"/>
        <v>250</v>
      </c>
      <c r="Q97" s="16" t="str">
        <f t="shared" ca="1" si="11"/>
        <v>Intermediate</v>
      </c>
      <c r="R97" s="16">
        <f t="shared" si="12"/>
        <v>31.666666666666668</v>
      </c>
      <c r="S97" s="16" t="str">
        <f t="shared" si="13"/>
        <v>Medium</v>
      </c>
      <c r="T97" s="16">
        <f t="shared" ca="1" si="14"/>
        <v>253</v>
      </c>
    </row>
    <row r="98" spans="2:20" x14ac:dyDescent="0.2">
      <c r="B98" s="20" t="s">
        <v>57</v>
      </c>
      <c r="C98" s="12">
        <v>53</v>
      </c>
      <c r="D98" s="13" t="s">
        <v>1</v>
      </c>
      <c r="E98" s="14">
        <v>99.35</v>
      </c>
      <c r="F98" s="15" t="s">
        <v>58</v>
      </c>
      <c r="G98" s="12">
        <v>64</v>
      </c>
      <c r="H98" s="12">
        <v>79</v>
      </c>
      <c r="I98" s="12">
        <v>6</v>
      </c>
      <c r="J98" s="13" t="s">
        <v>219</v>
      </c>
      <c r="K98" s="12">
        <v>1</v>
      </c>
      <c r="L98" s="12">
        <v>1</v>
      </c>
      <c r="M98" s="12">
        <v>1</v>
      </c>
      <c r="N98" s="12">
        <v>1</v>
      </c>
      <c r="O98" s="12">
        <v>0</v>
      </c>
      <c r="P98" s="12">
        <f t="shared" ca="1" si="10"/>
        <v>191</v>
      </c>
      <c r="Q98" s="12" t="str">
        <f t="shared" ca="1" si="11"/>
        <v>Intermediate</v>
      </c>
      <c r="R98" s="12">
        <f t="shared" si="12"/>
        <v>49.666666666666664</v>
      </c>
      <c r="S98" s="12" t="str">
        <f t="shared" si="13"/>
        <v>Medium</v>
      </c>
      <c r="T98" s="12">
        <f t="shared" ca="1" si="14"/>
        <v>195</v>
      </c>
    </row>
    <row r="99" spans="2:20" x14ac:dyDescent="0.2">
      <c r="B99" s="21" t="s">
        <v>12</v>
      </c>
      <c r="C99" s="16">
        <v>20</v>
      </c>
      <c r="D99" s="17" t="s">
        <v>4</v>
      </c>
      <c r="E99" s="18">
        <v>95.14</v>
      </c>
      <c r="F99" s="19" t="s">
        <v>13</v>
      </c>
      <c r="G99" s="16">
        <v>13</v>
      </c>
      <c r="H99" s="16">
        <v>28</v>
      </c>
      <c r="I99" s="16">
        <v>15</v>
      </c>
      <c r="J99" s="17" t="s">
        <v>217</v>
      </c>
      <c r="K99" s="16">
        <v>0</v>
      </c>
      <c r="L99" s="16">
        <v>1</v>
      </c>
      <c r="M99" s="16">
        <v>1</v>
      </c>
      <c r="N99" s="16">
        <v>0</v>
      </c>
      <c r="O99" s="16">
        <v>0</v>
      </c>
      <c r="P99" s="16">
        <f t="shared" ca="1" si="10"/>
        <v>161</v>
      </c>
      <c r="Q99" s="16" t="str">
        <f t="shared" ca="1" si="11"/>
        <v>Recent</v>
      </c>
      <c r="R99" s="16">
        <f t="shared" si="12"/>
        <v>18.666666666666668</v>
      </c>
      <c r="S99" s="16" t="str">
        <f t="shared" si="13"/>
        <v>Low</v>
      </c>
      <c r="T99" s="16">
        <f t="shared" ca="1" si="14"/>
        <v>163</v>
      </c>
    </row>
    <row r="100" spans="2:20" x14ac:dyDescent="0.2">
      <c r="B100" s="20" t="s">
        <v>162</v>
      </c>
      <c r="C100" s="12">
        <v>66</v>
      </c>
      <c r="D100" s="13" t="s">
        <v>4</v>
      </c>
      <c r="E100" s="14">
        <v>83.78</v>
      </c>
      <c r="F100" s="15" t="s">
        <v>163</v>
      </c>
      <c r="G100" s="12">
        <v>77</v>
      </c>
      <c r="H100" s="12">
        <v>47</v>
      </c>
      <c r="I100" s="12">
        <v>11</v>
      </c>
      <c r="J100" s="13" t="s">
        <v>218</v>
      </c>
      <c r="K100" s="12">
        <v>0</v>
      </c>
      <c r="L100" s="12">
        <v>0</v>
      </c>
      <c r="M100" s="12">
        <v>1</v>
      </c>
      <c r="N100" s="12">
        <v>0</v>
      </c>
      <c r="O100" s="12">
        <v>0</v>
      </c>
      <c r="P100" s="12">
        <f t="shared" ca="1" si="10"/>
        <v>401</v>
      </c>
      <c r="Q100" s="12" t="str">
        <f t="shared" ref="Q100:Q103" ca="1" si="15">IF(P100&lt;=180,"Recent",IF(P100&lt;=360,"Intermediate","Dormant"))</f>
        <v>Dormant</v>
      </c>
      <c r="R100" s="12">
        <f t="shared" si="12"/>
        <v>45</v>
      </c>
      <c r="S100" s="12" t="str">
        <f t="shared" ref="S100:S103" si="16">IF(R100&lt;=25,"Low",IF(R100&lt;=50,"Medium","High"))</f>
        <v>Medium</v>
      </c>
      <c r="T100" s="12">
        <f t="shared" ca="1" si="14"/>
        <v>402</v>
      </c>
    </row>
    <row r="101" spans="2:20" x14ac:dyDescent="0.2">
      <c r="B101" s="21" t="s">
        <v>29</v>
      </c>
      <c r="C101" s="16">
        <v>54</v>
      </c>
      <c r="D101" s="17" t="s">
        <v>4</v>
      </c>
      <c r="E101" s="18">
        <v>82.13</v>
      </c>
      <c r="F101" s="19" t="s">
        <v>30</v>
      </c>
      <c r="G101" s="16">
        <v>26</v>
      </c>
      <c r="H101" s="16">
        <v>66</v>
      </c>
      <c r="I101" s="16">
        <v>8</v>
      </c>
      <c r="J101" s="17" t="s">
        <v>222</v>
      </c>
      <c r="K101" s="16">
        <v>1</v>
      </c>
      <c r="L101" s="16">
        <v>0</v>
      </c>
      <c r="M101" s="16">
        <v>0</v>
      </c>
      <c r="N101" s="16">
        <v>1</v>
      </c>
      <c r="O101" s="16">
        <v>1</v>
      </c>
      <c r="P101" s="16">
        <f t="shared" ca="1" si="10"/>
        <v>198</v>
      </c>
      <c r="Q101" s="16" t="str">
        <f t="shared" ca="1" si="15"/>
        <v>Intermediate</v>
      </c>
      <c r="R101" s="16">
        <f t="shared" si="12"/>
        <v>33.333333333333336</v>
      </c>
      <c r="S101" s="16" t="str">
        <f t="shared" si="16"/>
        <v>Medium</v>
      </c>
      <c r="T101" s="16">
        <f t="shared" ca="1" si="14"/>
        <v>201</v>
      </c>
    </row>
    <row r="102" spans="2:20" x14ac:dyDescent="0.2">
      <c r="B102" s="20" t="s">
        <v>65</v>
      </c>
      <c r="C102" s="12">
        <v>51</v>
      </c>
      <c r="D102" s="13" t="s">
        <v>4</v>
      </c>
      <c r="E102" s="14">
        <v>78.19</v>
      </c>
      <c r="F102" s="15" t="s">
        <v>66</v>
      </c>
      <c r="G102" s="12">
        <v>2</v>
      </c>
      <c r="H102" s="12">
        <v>56</v>
      </c>
      <c r="I102" s="12">
        <v>17</v>
      </c>
      <c r="J102" s="13" t="s">
        <v>221</v>
      </c>
      <c r="K102" s="12">
        <v>0</v>
      </c>
      <c r="L102" s="12">
        <v>0</v>
      </c>
      <c r="M102" s="12">
        <v>1</v>
      </c>
      <c r="N102" s="12">
        <v>1</v>
      </c>
      <c r="O102" s="12">
        <v>1</v>
      </c>
      <c r="P102" s="12">
        <f t="shared" ca="1" si="10"/>
        <v>271</v>
      </c>
      <c r="Q102" s="12" t="str">
        <f t="shared" ca="1" si="15"/>
        <v>Intermediate</v>
      </c>
      <c r="R102" s="12">
        <f t="shared" si="12"/>
        <v>25</v>
      </c>
      <c r="S102" s="12" t="str">
        <f t="shared" si="16"/>
        <v>Low</v>
      </c>
      <c r="T102" s="12">
        <f t="shared" ca="1" si="14"/>
        <v>274</v>
      </c>
    </row>
    <row r="103" spans="2:20" x14ac:dyDescent="0.2">
      <c r="B103" s="21" t="s">
        <v>185</v>
      </c>
      <c r="C103" s="16">
        <v>20</v>
      </c>
      <c r="D103" s="17" t="s">
        <v>1</v>
      </c>
      <c r="E103" s="18">
        <v>50.34</v>
      </c>
      <c r="F103" s="19" t="s">
        <v>186</v>
      </c>
      <c r="G103" s="16">
        <v>33</v>
      </c>
      <c r="H103" s="16">
        <v>84</v>
      </c>
      <c r="I103" s="16">
        <v>26</v>
      </c>
      <c r="J103" s="17" t="s">
        <v>218</v>
      </c>
      <c r="K103" s="16">
        <v>1</v>
      </c>
      <c r="L103" s="16">
        <v>0</v>
      </c>
      <c r="M103" s="16">
        <v>1</v>
      </c>
      <c r="N103" s="16">
        <v>0</v>
      </c>
      <c r="O103" s="16">
        <v>0</v>
      </c>
      <c r="P103" s="16">
        <f t="shared" ca="1" si="10"/>
        <v>192</v>
      </c>
      <c r="Q103" s="16" t="str">
        <f t="shared" ca="1" si="15"/>
        <v>Intermediate</v>
      </c>
      <c r="R103" s="16">
        <f t="shared" si="12"/>
        <v>47.666666666666664</v>
      </c>
      <c r="S103" s="16" t="str">
        <f t="shared" si="16"/>
        <v>Medium</v>
      </c>
      <c r="T103" s="16">
        <f t="shared" ca="1" si="14"/>
        <v>194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9"/>
  <sheetViews>
    <sheetView zoomScaleNormal="25" workbookViewId="0"/>
  </sheetViews>
  <sheetFormatPr baseColWidth="10" defaultColWidth="11.5" defaultRowHeight="15" x14ac:dyDescent="0.2"/>
  <cols>
    <col min="1" max="1" width="11.6640625" customWidth="1"/>
    <col min="2" max="2" width="9.6640625" customWidth="1"/>
    <col min="3" max="3" width="12.5" customWidth="1"/>
    <col min="4" max="4" width="19.1640625" customWidth="1"/>
    <col min="5" max="5" width="9.5" bestFit="1" customWidth="1"/>
    <col min="6" max="6" width="11.5" bestFit="1" customWidth="1"/>
    <col min="7" max="7" width="16.1640625" customWidth="1"/>
  </cols>
  <sheetData>
    <row r="3" spans="2:13" x14ac:dyDescent="0.2">
      <c r="B3" s="51" t="s">
        <v>229</v>
      </c>
      <c r="C3" s="51"/>
      <c r="D3" s="51"/>
      <c r="G3" s="45" t="s">
        <v>193</v>
      </c>
      <c r="H3" s="7"/>
      <c r="I3" s="7"/>
      <c r="J3" s="7"/>
      <c r="K3" s="7"/>
    </row>
    <row r="4" spans="2:13" x14ac:dyDescent="0.2">
      <c r="B4" s="52" t="s">
        <v>230</v>
      </c>
      <c r="C4" s="52"/>
      <c r="D4" s="52"/>
      <c r="E4" s="3">
        <f>AVERAGE('00_Dataset'!C4:C103)</f>
        <v>42.54</v>
      </c>
      <c r="G4" t="s">
        <v>308</v>
      </c>
    </row>
    <row r="5" spans="2:13" x14ac:dyDescent="0.2">
      <c r="B5" s="53" t="s">
        <v>231</v>
      </c>
      <c r="C5" s="53"/>
      <c r="D5" s="53"/>
      <c r="E5" s="3">
        <f>AVERAGE('00_Dataset'!E4:E103)</f>
        <v>725.18850000000032</v>
      </c>
    </row>
    <row r="6" spans="2:13" x14ac:dyDescent="0.2">
      <c r="B6" s="53" t="s">
        <v>232</v>
      </c>
      <c r="C6" s="53"/>
      <c r="D6" s="53"/>
      <c r="E6" s="3">
        <f>AVERAGE('00_Dataset'!G4:G103)</f>
        <v>48.77</v>
      </c>
      <c r="G6" s="43" t="s">
        <v>194</v>
      </c>
    </row>
    <row r="7" spans="2:13" x14ac:dyDescent="0.2">
      <c r="B7" s="53" t="s">
        <v>233</v>
      </c>
      <c r="C7" s="53"/>
      <c r="D7" s="53"/>
      <c r="E7" s="3">
        <f>AVERAGE('00_Dataset'!H4:H103)</f>
        <v>47.71</v>
      </c>
      <c r="G7" s="50" t="s">
        <v>309</v>
      </c>
      <c r="H7" s="50"/>
      <c r="I7" s="50"/>
      <c r="J7" s="50"/>
      <c r="K7" s="50"/>
      <c r="L7" s="50"/>
      <c r="M7" s="50"/>
    </row>
    <row r="8" spans="2:13" x14ac:dyDescent="0.2">
      <c r="B8" s="53" t="s">
        <v>234</v>
      </c>
      <c r="C8" s="53"/>
      <c r="D8" s="53"/>
      <c r="E8" s="3">
        <f>AVERAGE('00_Dataset'!I4:I103)</f>
        <v>26.84</v>
      </c>
      <c r="G8" s="50"/>
      <c r="H8" s="50"/>
      <c r="I8" s="50"/>
      <c r="J8" s="50"/>
      <c r="K8" s="50"/>
      <c r="L8" s="50"/>
      <c r="M8" s="50"/>
    </row>
    <row r="9" spans="2:13" x14ac:dyDescent="0.2">
      <c r="B9" s="53" t="s">
        <v>301</v>
      </c>
      <c r="C9" s="53"/>
      <c r="D9" s="53"/>
      <c r="E9" s="3">
        <f>MEDIAN(Dataset[Total Spending (€)])</f>
        <v>677.77499999999998</v>
      </c>
    </row>
    <row r="10" spans="2:13" x14ac:dyDescent="0.2">
      <c r="B10" s="53" t="s">
        <v>302</v>
      </c>
      <c r="C10" s="53"/>
      <c r="D10" s="53"/>
      <c r="E10" s="3">
        <f>STDEV(Dataset[Total Spending (€)])</f>
        <v>404.70800086530716</v>
      </c>
    </row>
    <row r="11" spans="2:13" x14ac:dyDescent="0.2">
      <c r="B11" s="53" t="s">
        <v>303</v>
      </c>
      <c r="C11" s="53"/>
      <c r="D11" s="53"/>
      <c r="E11" s="42">
        <f>'03_Recency_Analysis'!D4</f>
        <v>43.500000000000007</v>
      </c>
    </row>
    <row r="17" spans="2:13" x14ac:dyDescent="0.2">
      <c r="B17" s="1" t="s">
        <v>199</v>
      </c>
      <c r="C17" t="s">
        <v>304</v>
      </c>
      <c r="D17" t="s">
        <v>244</v>
      </c>
      <c r="G17" s="45" t="s">
        <v>193</v>
      </c>
      <c r="H17" s="7"/>
      <c r="I17" s="7"/>
      <c r="J17" s="7"/>
      <c r="K17" s="7"/>
    </row>
    <row r="18" spans="2:13" x14ac:dyDescent="0.2">
      <c r="B18" s="2" t="s">
        <v>1</v>
      </c>
      <c r="C18">
        <v>48</v>
      </c>
      <c r="D18" s="3">
        <v>817.60541666666688</v>
      </c>
      <c r="G18" t="s">
        <v>307</v>
      </c>
    </row>
    <row r="19" spans="2:13" x14ac:dyDescent="0.2">
      <c r="B19" s="2" t="s">
        <v>4</v>
      </c>
      <c r="C19">
        <v>52</v>
      </c>
      <c r="D19" s="3">
        <v>639.88057692307677</v>
      </c>
    </row>
    <row r="20" spans="2:13" x14ac:dyDescent="0.2">
      <c r="B20" s="2" t="s">
        <v>306</v>
      </c>
      <c r="C20">
        <v>100</v>
      </c>
      <c r="D20" s="3">
        <v>725.18850000000032</v>
      </c>
      <c r="G20" s="43" t="s">
        <v>194</v>
      </c>
    </row>
    <row r="21" spans="2:13" x14ac:dyDescent="0.2">
      <c r="G21" s="50" t="s">
        <v>305</v>
      </c>
      <c r="H21" s="50"/>
      <c r="I21" s="50"/>
      <c r="J21" s="50"/>
      <c r="K21" s="50"/>
      <c r="L21" s="50"/>
      <c r="M21" s="50"/>
    </row>
    <row r="22" spans="2:13" x14ac:dyDescent="0.2">
      <c r="G22" s="50"/>
      <c r="H22" s="50"/>
      <c r="I22" s="50"/>
      <c r="J22" s="50"/>
      <c r="K22" s="50"/>
      <c r="L22" s="50"/>
      <c r="M22" s="50"/>
    </row>
    <row r="39" spans="7:9" x14ac:dyDescent="0.2">
      <c r="G39" s="7"/>
      <c r="H39" s="7"/>
      <c r="I39" s="7"/>
    </row>
  </sheetData>
  <sortState xmlns:xlrd2="http://schemas.microsoft.com/office/spreadsheetml/2017/richdata2" ref="B4:E103">
    <sortCondition descending="1" ref="E4:E103"/>
  </sortState>
  <mergeCells count="11">
    <mergeCell ref="G21:M22"/>
    <mergeCell ref="G7:M8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2473-7FC7-F745-8702-CCB441038075}">
  <dimension ref="N8:AB68"/>
  <sheetViews>
    <sheetView zoomScale="67" zoomScaleNormal="50" workbookViewId="0">
      <selection activeCell="A4" sqref="A4"/>
    </sheetView>
  </sheetViews>
  <sheetFormatPr baseColWidth="10" defaultRowHeight="15" x14ac:dyDescent="0.2"/>
  <cols>
    <col min="14" max="14" width="27.83203125" bestFit="1" customWidth="1"/>
    <col min="15" max="15" width="8.6640625" bestFit="1" customWidth="1"/>
    <col min="19" max="19" width="11.5" bestFit="1" customWidth="1"/>
  </cols>
  <sheetData>
    <row r="8" spans="14:28" x14ac:dyDescent="0.2">
      <c r="N8" s="35" t="s">
        <v>228</v>
      </c>
      <c r="S8" s="6" t="s">
        <v>193</v>
      </c>
    </row>
    <row r="9" spans="14:28" ht="16" customHeight="1" x14ac:dyDescent="0.25">
      <c r="N9" s="5" t="s">
        <v>227</v>
      </c>
      <c r="O9" s="9">
        <f>CORREL('00_Dataset'!E4:E103,'00_Dataset'!G4:G103)</f>
        <v>4.262914967169215E-3</v>
      </c>
      <c r="S9" s="54" t="s">
        <v>235</v>
      </c>
      <c r="T9" s="54"/>
      <c r="U9" s="54"/>
      <c r="V9" s="54"/>
      <c r="W9" s="54"/>
      <c r="X9" s="54"/>
      <c r="Y9" s="54"/>
      <c r="Z9" s="37"/>
      <c r="AA9" s="37"/>
      <c r="AB9" s="37"/>
    </row>
    <row r="10" spans="14:28" x14ac:dyDescent="0.2">
      <c r="N10" s="5" t="s">
        <v>226</v>
      </c>
      <c r="O10" s="10">
        <f>POWER(O9,2)</f>
        <v>1.8172444017315308E-5</v>
      </c>
      <c r="S10" s="54"/>
      <c r="T10" s="54"/>
      <c r="U10" s="54"/>
      <c r="V10" s="54"/>
      <c r="W10" s="54"/>
      <c r="X10" s="54"/>
      <c r="Y10" s="54"/>
      <c r="Z10" s="37"/>
      <c r="AA10" s="37"/>
      <c r="AB10" s="37"/>
    </row>
    <row r="11" spans="14:28" x14ac:dyDescent="0.2">
      <c r="S11" s="54"/>
      <c r="T11" s="54"/>
      <c r="U11" s="54"/>
      <c r="V11" s="54"/>
      <c r="W11" s="54"/>
      <c r="X11" s="54"/>
      <c r="Y11" s="54"/>
      <c r="Z11" s="37"/>
      <c r="AA11" s="37"/>
      <c r="AB11" s="37"/>
    </row>
    <row r="12" spans="14:28" x14ac:dyDescent="0.2">
      <c r="S12" s="37"/>
      <c r="T12" s="37"/>
      <c r="U12" s="37"/>
      <c r="V12" s="37"/>
      <c r="W12" s="37"/>
      <c r="X12" s="37"/>
      <c r="Y12" s="37"/>
    </row>
    <row r="37" spans="14:15" x14ac:dyDescent="0.2">
      <c r="N37" s="41" t="s">
        <v>228</v>
      </c>
    </row>
    <row r="38" spans="14:15" x14ac:dyDescent="0.2">
      <c r="N38" s="5" t="s">
        <v>227</v>
      </c>
      <c r="O38">
        <f>CORREL('00_Dataset'!E4:E103,'00_Dataset'!H4:H103)</f>
        <v>0.21744173948873247</v>
      </c>
    </row>
    <row r="39" spans="14:15" x14ac:dyDescent="0.2">
      <c r="N39" s="5" t="s">
        <v>226</v>
      </c>
      <c r="O39">
        <f>POWER(O38,2)</f>
        <v>4.7280910071885798E-2</v>
      </c>
    </row>
    <row r="66" spans="14:15" x14ac:dyDescent="0.2">
      <c r="N66" s="36" t="s">
        <v>228</v>
      </c>
    </row>
    <row r="67" spans="14:15" x14ac:dyDescent="0.2">
      <c r="N67" s="5" t="s">
        <v>227</v>
      </c>
      <c r="O67">
        <f>CORREL('00_Dataset'!E4:E103,'00_Dataset'!I4:I103)</f>
        <v>0.21897683859586997</v>
      </c>
    </row>
    <row r="68" spans="14:15" x14ac:dyDescent="0.2">
      <c r="N68" s="5" t="s">
        <v>226</v>
      </c>
      <c r="O68">
        <f>POWER(O67,2)</f>
        <v>4.7950855841441688E-2</v>
      </c>
    </row>
  </sheetData>
  <mergeCells count="1">
    <mergeCell ref="S9:Y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B575-7CDB-8F4E-9C5C-748F7C54E999}">
  <dimension ref="B3:M38"/>
  <sheetViews>
    <sheetView zoomScale="81" zoomScaleNormal="100" workbookViewId="0"/>
  </sheetViews>
  <sheetFormatPr baseColWidth="10" defaultRowHeight="15" x14ac:dyDescent="0.2"/>
  <cols>
    <col min="1" max="1" width="16.1640625" customWidth="1"/>
    <col min="2" max="2" width="17.33203125" bestFit="1" customWidth="1"/>
    <col min="3" max="3" width="19.33203125" bestFit="1" customWidth="1"/>
    <col min="4" max="4" width="19.1640625" bestFit="1" customWidth="1"/>
    <col min="6" max="6" width="40.1640625" bestFit="1" customWidth="1"/>
    <col min="11" max="11" width="10.83203125" customWidth="1"/>
  </cols>
  <sheetData>
    <row r="3" spans="2:4" x14ac:dyDescent="0.2">
      <c r="B3" s="25" t="s">
        <v>258</v>
      </c>
      <c r="C3" s="8" t="s">
        <v>239</v>
      </c>
      <c r="D3" s="8" t="s">
        <v>240</v>
      </c>
    </row>
    <row r="4" spans="2:4" x14ac:dyDescent="0.2">
      <c r="B4" s="2" t="s">
        <v>236</v>
      </c>
      <c r="C4" s="23">
        <v>738.81976190476212</v>
      </c>
      <c r="D4" s="24">
        <v>43.500000000000007</v>
      </c>
    </row>
    <row r="5" spans="2:4" x14ac:dyDescent="0.2">
      <c r="B5" s="2" t="s">
        <v>237</v>
      </c>
      <c r="C5" s="23">
        <v>737.96181818181799</v>
      </c>
      <c r="D5" s="24">
        <v>40.204545454545467</v>
      </c>
    </row>
    <row r="6" spans="2:4" x14ac:dyDescent="0.2">
      <c r="B6" s="2" t="s">
        <v>238</v>
      </c>
      <c r="C6" s="23">
        <v>644.14999999999986</v>
      </c>
      <c r="D6" s="24">
        <v>36.761904761904766</v>
      </c>
    </row>
    <row r="7" spans="2:4" x14ac:dyDescent="0.2">
      <c r="B7" s="2" t="s">
        <v>189</v>
      </c>
      <c r="C7" s="23">
        <v>725.18850000000009</v>
      </c>
      <c r="D7" s="24">
        <v>41.106666666666662</v>
      </c>
    </row>
    <row r="30" spans="6:13" x14ac:dyDescent="0.2">
      <c r="F30" s="22" t="s">
        <v>193</v>
      </c>
      <c r="G30" s="7"/>
      <c r="H30" s="7"/>
      <c r="I30" s="7"/>
      <c r="J30" s="7"/>
      <c r="K30" s="7"/>
      <c r="L30" s="7"/>
      <c r="M30" s="7"/>
    </row>
    <row r="31" spans="6:13" x14ac:dyDescent="0.2">
      <c r="F31" t="s">
        <v>195</v>
      </c>
    </row>
    <row r="32" spans="6:13" x14ac:dyDescent="0.2">
      <c r="F32" t="s">
        <v>196</v>
      </c>
    </row>
    <row r="35" spans="6:13" x14ac:dyDescent="0.2">
      <c r="F35" s="45" t="s">
        <v>251</v>
      </c>
      <c r="G35" s="55" t="s">
        <v>194</v>
      </c>
      <c r="H35" s="55"/>
      <c r="I35" s="55"/>
      <c r="J35" s="55"/>
      <c r="K35" s="55"/>
      <c r="L35" s="55"/>
      <c r="M35" s="55"/>
    </row>
    <row r="36" spans="6:13" x14ac:dyDescent="0.2">
      <c r="F36" t="s">
        <v>252</v>
      </c>
      <c r="G36" t="s">
        <v>253</v>
      </c>
    </row>
    <row r="37" spans="6:13" x14ac:dyDescent="0.2">
      <c r="F37" t="s">
        <v>254</v>
      </c>
      <c r="G37" t="s">
        <v>255</v>
      </c>
    </row>
    <row r="38" spans="6:13" x14ac:dyDescent="0.2">
      <c r="F38" t="s">
        <v>256</v>
      </c>
      <c r="G38" t="s">
        <v>257</v>
      </c>
    </row>
  </sheetData>
  <mergeCells count="1">
    <mergeCell ref="G35:M35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BB87-4074-BA4F-BC1D-E836A31AE113}">
  <dimension ref="B3:M42"/>
  <sheetViews>
    <sheetView zoomScale="69" zoomScaleNormal="92" workbookViewId="0"/>
  </sheetViews>
  <sheetFormatPr baseColWidth="10" defaultRowHeight="15" x14ac:dyDescent="0.2"/>
  <cols>
    <col min="2" max="2" width="18" bestFit="1" customWidth="1"/>
    <col min="3" max="3" width="18.83203125" bestFit="1" customWidth="1"/>
    <col min="4" max="4" width="19.1640625" customWidth="1"/>
    <col min="5" max="5" width="12" customWidth="1"/>
    <col min="6" max="6" width="24.1640625" customWidth="1"/>
    <col min="7" max="7" width="12.5" customWidth="1"/>
  </cols>
  <sheetData>
    <row r="3" spans="2:4" x14ac:dyDescent="0.2">
      <c r="B3" s="25" t="s">
        <v>190</v>
      </c>
      <c r="C3" s="8" t="s">
        <v>244</v>
      </c>
      <c r="D3" s="8" t="s">
        <v>240</v>
      </c>
    </row>
    <row r="4" spans="2:4" x14ac:dyDescent="0.2">
      <c r="B4" s="2" t="s">
        <v>241</v>
      </c>
      <c r="C4" s="3">
        <v>814.01571428571435</v>
      </c>
      <c r="D4" s="4">
        <v>57.952380952380963</v>
      </c>
    </row>
    <row r="5" spans="2:4" x14ac:dyDescent="0.2">
      <c r="B5" s="2" t="s">
        <v>242</v>
      </c>
      <c r="C5" s="3">
        <v>471.79866666666658</v>
      </c>
      <c r="D5" s="4">
        <v>20.244444444444447</v>
      </c>
    </row>
    <row r="6" spans="2:4" x14ac:dyDescent="0.2">
      <c r="B6" s="2" t="s">
        <v>243</v>
      </c>
      <c r="C6" s="3">
        <v>748.23561403508756</v>
      </c>
      <c r="D6" s="4">
        <v>38.321637426900594</v>
      </c>
    </row>
    <row r="7" spans="2:4" x14ac:dyDescent="0.2">
      <c r="B7" s="2" t="s">
        <v>189</v>
      </c>
      <c r="C7" s="3">
        <v>725.18850000000032</v>
      </c>
      <c r="D7" s="4">
        <v>41.106666666666669</v>
      </c>
    </row>
    <row r="30" spans="6:11" x14ac:dyDescent="0.2">
      <c r="F30" s="22" t="s">
        <v>193</v>
      </c>
    </row>
    <row r="31" spans="6:11" x14ac:dyDescent="0.2">
      <c r="F31" s="56" t="s">
        <v>191</v>
      </c>
      <c r="G31" s="56"/>
      <c r="H31" s="56"/>
      <c r="I31" s="56"/>
      <c r="J31" s="56"/>
      <c r="K31" s="56"/>
    </row>
    <row r="32" spans="6:11" x14ac:dyDescent="0.2">
      <c r="F32" s="56" t="s">
        <v>192</v>
      </c>
      <c r="G32" s="56"/>
      <c r="H32" s="56"/>
      <c r="I32" s="56"/>
      <c r="J32" s="56"/>
      <c r="K32" s="56"/>
    </row>
    <row r="35" spans="6:13" x14ac:dyDescent="0.2">
      <c r="F35" s="45" t="s">
        <v>251</v>
      </c>
      <c r="G35" s="55" t="s">
        <v>194</v>
      </c>
      <c r="H35" s="55"/>
      <c r="I35" s="55"/>
      <c r="J35" s="55"/>
      <c r="K35" s="55"/>
      <c r="L35" s="55"/>
      <c r="M35" s="55"/>
    </row>
    <row r="36" spans="6:13" x14ac:dyDescent="0.2">
      <c r="F36" t="s">
        <v>245</v>
      </c>
      <c r="G36" s="2" t="s">
        <v>246</v>
      </c>
      <c r="H36" s="2"/>
      <c r="I36" s="2"/>
      <c r="J36" s="2"/>
      <c r="K36" s="2"/>
      <c r="L36" s="2"/>
      <c r="M36" s="2"/>
    </row>
    <row r="37" spans="6:13" x14ac:dyDescent="0.2">
      <c r="F37" t="s">
        <v>247</v>
      </c>
      <c r="G37" s="2" t="s">
        <v>248</v>
      </c>
      <c r="H37" s="2"/>
      <c r="I37" s="2"/>
      <c r="J37" s="2"/>
      <c r="K37" s="2"/>
      <c r="L37" s="2"/>
      <c r="M37" s="2"/>
    </row>
    <row r="38" spans="6:13" x14ac:dyDescent="0.2">
      <c r="F38" t="s">
        <v>249</v>
      </c>
      <c r="G38" s="2" t="s">
        <v>250</v>
      </c>
      <c r="H38" s="2"/>
      <c r="I38" s="2"/>
      <c r="J38" s="2"/>
      <c r="K38" s="2"/>
      <c r="L38" s="2"/>
      <c r="M38" s="2"/>
    </row>
    <row r="42" spans="6:13" x14ac:dyDescent="0.2">
      <c r="F42" s="11"/>
    </row>
  </sheetData>
  <sortState xmlns:xlrd2="http://schemas.microsoft.com/office/spreadsheetml/2017/richdata2" ref="B3:D7">
    <sortCondition ref="B4"/>
  </sortState>
  <mergeCells count="3">
    <mergeCell ref="G35:M35"/>
    <mergeCell ref="F31:K31"/>
    <mergeCell ref="F32:K3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F466-E54D-5F44-888C-C7C30E618382}">
  <dimension ref="B3:V34"/>
  <sheetViews>
    <sheetView zoomScale="66" workbookViewId="0"/>
  </sheetViews>
  <sheetFormatPr baseColWidth="10" defaultRowHeight="15" x14ac:dyDescent="0.2"/>
  <cols>
    <col min="2" max="2" width="15.83203125" bestFit="1" customWidth="1"/>
    <col min="3" max="3" width="13.1640625" bestFit="1" customWidth="1"/>
    <col min="4" max="4" width="13.6640625" bestFit="1" customWidth="1"/>
    <col min="5" max="5" width="12.33203125" bestFit="1" customWidth="1"/>
    <col min="6" max="6" width="13.6640625" bestFit="1" customWidth="1"/>
    <col min="7" max="7" width="13.83203125" bestFit="1" customWidth="1"/>
    <col min="9" max="9" width="11" customWidth="1"/>
    <col min="10" max="10" width="10.83203125" customWidth="1"/>
    <col min="13" max="13" width="10.83203125" customWidth="1"/>
  </cols>
  <sheetData>
    <row r="3" spans="2:7" x14ac:dyDescent="0.2">
      <c r="B3" s="1" t="s">
        <v>258</v>
      </c>
      <c r="C3" s="8" t="s">
        <v>259</v>
      </c>
      <c r="D3" s="8" t="s">
        <v>260</v>
      </c>
      <c r="E3" s="8" t="s">
        <v>261</v>
      </c>
      <c r="F3" s="8" t="s">
        <v>262</v>
      </c>
      <c r="G3" s="8" t="s">
        <v>263</v>
      </c>
    </row>
    <row r="4" spans="2:7" x14ac:dyDescent="0.2">
      <c r="B4" s="2" t="s">
        <v>236</v>
      </c>
      <c r="C4" s="24">
        <v>10</v>
      </c>
      <c r="D4" s="24">
        <v>18</v>
      </c>
      <c r="E4" s="24">
        <v>18</v>
      </c>
      <c r="F4" s="24">
        <v>19</v>
      </c>
      <c r="G4" s="24">
        <v>17</v>
      </c>
    </row>
    <row r="5" spans="2:7" x14ac:dyDescent="0.2">
      <c r="B5" s="2" t="s">
        <v>237</v>
      </c>
      <c r="C5" s="24">
        <v>22</v>
      </c>
      <c r="D5" s="24">
        <v>22</v>
      </c>
      <c r="E5" s="24">
        <v>20</v>
      </c>
      <c r="F5" s="24">
        <v>22</v>
      </c>
      <c r="G5" s="24">
        <v>24</v>
      </c>
    </row>
    <row r="6" spans="2:7" x14ac:dyDescent="0.2">
      <c r="B6" s="2" t="s">
        <v>238</v>
      </c>
      <c r="C6" s="24">
        <v>6</v>
      </c>
      <c r="D6" s="24">
        <v>6</v>
      </c>
      <c r="E6" s="24">
        <v>10</v>
      </c>
      <c r="F6" s="24">
        <v>11</v>
      </c>
      <c r="G6" s="24">
        <v>6</v>
      </c>
    </row>
    <row r="7" spans="2:7" x14ac:dyDescent="0.2">
      <c r="B7" s="2" t="s">
        <v>189</v>
      </c>
      <c r="C7" s="24">
        <v>38</v>
      </c>
      <c r="D7" s="24">
        <v>46</v>
      </c>
      <c r="E7" s="24">
        <v>48</v>
      </c>
      <c r="F7" s="24">
        <v>52</v>
      </c>
      <c r="G7" s="24">
        <v>47</v>
      </c>
    </row>
    <row r="25" spans="9:22" x14ac:dyDescent="0.2">
      <c r="I25" s="61" t="s">
        <v>271</v>
      </c>
      <c r="J25" s="61"/>
    </row>
    <row r="26" spans="9:22" x14ac:dyDescent="0.2">
      <c r="I26" t="s">
        <v>264</v>
      </c>
    </row>
    <row r="29" spans="9:22" x14ac:dyDescent="0.2">
      <c r="I29" s="59" t="s">
        <v>251</v>
      </c>
      <c r="J29" s="60"/>
      <c r="K29" s="60"/>
      <c r="L29" s="60"/>
      <c r="M29" s="60"/>
      <c r="N29" s="57" t="s">
        <v>194</v>
      </c>
      <c r="O29" s="58"/>
      <c r="P29" s="58"/>
      <c r="Q29" s="58"/>
      <c r="R29" s="58"/>
      <c r="S29" s="58"/>
      <c r="T29" s="58"/>
    </row>
    <row r="30" spans="9:22" x14ac:dyDescent="0.2">
      <c r="I30" t="s">
        <v>270</v>
      </c>
      <c r="N30" t="s">
        <v>265</v>
      </c>
    </row>
    <row r="31" spans="9:22" x14ac:dyDescent="0.2">
      <c r="I31" t="s">
        <v>266</v>
      </c>
      <c r="N31" t="s">
        <v>267</v>
      </c>
    </row>
    <row r="32" spans="9:22" x14ac:dyDescent="0.2">
      <c r="I32" t="s">
        <v>268</v>
      </c>
      <c r="N32" t="s">
        <v>269</v>
      </c>
      <c r="V32" s="2"/>
    </row>
    <row r="33" spans="21:22" x14ac:dyDescent="0.2">
      <c r="V33" s="2"/>
    </row>
    <row r="34" spans="21:22" x14ac:dyDescent="0.2">
      <c r="U34" s="2"/>
      <c r="V34" s="2"/>
    </row>
  </sheetData>
  <mergeCells count="3">
    <mergeCell ref="N29:T29"/>
    <mergeCell ref="I29:M29"/>
    <mergeCell ref="I25:J25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8F78-89FB-A845-A910-9C3F249AE306}">
  <dimension ref="B3:Q49"/>
  <sheetViews>
    <sheetView zoomScale="75" zoomScaleNormal="67" workbookViewId="0"/>
  </sheetViews>
  <sheetFormatPr baseColWidth="10" defaultRowHeight="15" x14ac:dyDescent="0.2"/>
  <cols>
    <col min="2" max="2" width="33.5" bestFit="1" customWidth="1"/>
    <col min="3" max="3" width="22.5" bestFit="1" customWidth="1"/>
    <col min="4" max="4" width="22.83203125" bestFit="1" customWidth="1"/>
  </cols>
  <sheetData>
    <row r="3" spans="2:4" x14ac:dyDescent="0.2">
      <c r="B3" s="1" t="s">
        <v>205</v>
      </c>
      <c r="C3" t="s">
        <v>244</v>
      </c>
      <c r="D3" t="s">
        <v>240</v>
      </c>
    </row>
    <row r="4" spans="2:4" x14ac:dyDescent="0.2">
      <c r="B4" s="2" t="s">
        <v>222</v>
      </c>
      <c r="C4" s="3">
        <v>723.85249999999996</v>
      </c>
      <c r="D4" s="4">
        <v>35.472222222222221</v>
      </c>
    </row>
    <row r="5" spans="2:4" x14ac:dyDescent="0.2">
      <c r="B5" s="2" t="s">
        <v>216</v>
      </c>
      <c r="C5" s="3">
        <v>807.80214285714305</v>
      </c>
      <c r="D5" s="4">
        <v>44.904761904761905</v>
      </c>
    </row>
    <row r="6" spans="2:4" x14ac:dyDescent="0.2">
      <c r="B6" s="2" t="s">
        <v>221</v>
      </c>
      <c r="C6" s="3">
        <v>643.42181818181825</v>
      </c>
      <c r="D6" s="4">
        <v>40.212121212121204</v>
      </c>
    </row>
    <row r="7" spans="2:4" x14ac:dyDescent="0.2">
      <c r="B7" s="2" t="s">
        <v>220</v>
      </c>
      <c r="C7" s="3">
        <v>811.6099999999999</v>
      </c>
      <c r="D7" s="4">
        <v>38.481481481481488</v>
      </c>
    </row>
    <row r="8" spans="2:4" x14ac:dyDescent="0.2">
      <c r="B8" s="2" t="s">
        <v>223</v>
      </c>
      <c r="C8" s="3">
        <v>666.57749999999999</v>
      </c>
      <c r="D8" s="4">
        <v>39.208333333333336</v>
      </c>
    </row>
    <row r="9" spans="2:4" x14ac:dyDescent="0.2">
      <c r="B9" s="2" t="s">
        <v>219</v>
      </c>
      <c r="C9" s="3">
        <v>651.60923076923063</v>
      </c>
      <c r="D9" s="4">
        <v>42.487179487179489</v>
      </c>
    </row>
    <row r="10" spans="2:4" x14ac:dyDescent="0.2">
      <c r="B10" s="2" t="s">
        <v>225</v>
      </c>
      <c r="C10" s="3">
        <v>526.20999999999992</v>
      </c>
      <c r="D10" s="4">
        <v>32.444444444444436</v>
      </c>
    </row>
    <row r="11" spans="2:4" x14ac:dyDescent="0.2">
      <c r="B11" s="2" t="s">
        <v>224</v>
      </c>
      <c r="C11" s="3">
        <v>748.17750000000001</v>
      </c>
      <c r="D11" s="4">
        <v>55</v>
      </c>
    </row>
    <row r="12" spans="2:4" x14ac:dyDescent="0.2">
      <c r="B12" s="2" t="s">
        <v>217</v>
      </c>
      <c r="C12" s="3">
        <v>915.44999999999993</v>
      </c>
      <c r="D12" s="4">
        <v>41.481481481481481</v>
      </c>
    </row>
    <row r="13" spans="2:4" x14ac:dyDescent="0.2">
      <c r="B13" s="2" t="s">
        <v>218</v>
      </c>
      <c r="C13" s="3">
        <v>760.91545454545474</v>
      </c>
      <c r="D13" s="4">
        <v>46.939393939393945</v>
      </c>
    </row>
    <row r="14" spans="2:4" x14ac:dyDescent="0.2">
      <c r="B14" s="2" t="s">
        <v>189</v>
      </c>
      <c r="C14" s="3">
        <v>725.18850000000009</v>
      </c>
      <c r="D14" s="4">
        <v>41.106666666666655</v>
      </c>
    </row>
    <row r="41" spans="6:17" x14ac:dyDescent="0.2">
      <c r="F41" s="61" t="s">
        <v>271</v>
      </c>
      <c r="G41" s="61"/>
    </row>
    <row r="42" spans="6:17" x14ac:dyDescent="0.2">
      <c r="F42" t="s">
        <v>278</v>
      </c>
    </row>
    <row r="46" spans="6:17" x14ac:dyDescent="0.2">
      <c r="F46" s="59" t="s">
        <v>251</v>
      </c>
      <c r="G46" s="60"/>
      <c r="H46" s="60"/>
      <c r="I46" s="60"/>
      <c r="J46" s="60"/>
      <c r="K46" s="63"/>
      <c r="L46" s="57" t="s">
        <v>194</v>
      </c>
      <c r="M46" s="58"/>
      <c r="N46" s="58"/>
      <c r="O46" s="58"/>
      <c r="P46" s="58"/>
      <c r="Q46" s="62"/>
    </row>
    <row r="47" spans="6:17" x14ac:dyDescent="0.2">
      <c r="F47" s="64" t="s">
        <v>272</v>
      </c>
      <c r="G47" s="64"/>
      <c r="H47" s="64"/>
      <c r="I47" s="64"/>
      <c r="J47" s="64"/>
      <c r="K47" s="64"/>
      <c r="L47" s="56" t="s">
        <v>273</v>
      </c>
      <c r="M47" s="56"/>
      <c r="N47" s="56"/>
      <c r="O47" s="56"/>
      <c r="P47" s="56"/>
      <c r="Q47" s="56"/>
    </row>
    <row r="48" spans="6:17" x14ac:dyDescent="0.2">
      <c r="F48" s="56" t="s">
        <v>274</v>
      </c>
      <c r="G48" s="56"/>
      <c r="H48" s="56"/>
      <c r="I48" s="56"/>
      <c r="J48" s="56"/>
      <c r="K48" s="56"/>
      <c r="L48" s="56" t="s">
        <v>275</v>
      </c>
      <c r="M48" s="56"/>
      <c r="N48" s="56"/>
      <c r="O48" s="56"/>
      <c r="P48" s="56"/>
      <c r="Q48" s="56"/>
    </row>
    <row r="49" spans="6:17" x14ac:dyDescent="0.2">
      <c r="F49" s="56" t="s">
        <v>276</v>
      </c>
      <c r="G49" s="56"/>
      <c r="H49" s="56"/>
      <c r="I49" s="56"/>
      <c r="J49" s="56"/>
      <c r="K49" s="56"/>
      <c r="L49" s="56" t="s">
        <v>277</v>
      </c>
      <c r="M49" s="56"/>
      <c r="N49" s="56"/>
      <c r="O49" s="56"/>
      <c r="P49" s="56"/>
      <c r="Q49" s="56"/>
    </row>
  </sheetData>
  <mergeCells count="9">
    <mergeCell ref="F49:K49"/>
    <mergeCell ref="L47:Q47"/>
    <mergeCell ref="L48:Q48"/>
    <mergeCell ref="L49:Q49"/>
    <mergeCell ref="F41:G41"/>
    <mergeCell ref="L46:Q46"/>
    <mergeCell ref="F46:K46"/>
    <mergeCell ref="F47:K47"/>
    <mergeCell ref="F48:K48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5E4A-A59D-FE4D-A285-1B43345AEA74}">
  <dimension ref="B3:D17"/>
  <sheetViews>
    <sheetView zoomScale="75" zoomScaleNormal="123" workbookViewId="0"/>
  </sheetViews>
  <sheetFormatPr baseColWidth="10" defaultRowHeight="15" x14ac:dyDescent="0.2"/>
  <cols>
    <col min="2" max="2" width="24.5" bestFit="1" customWidth="1"/>
    <col min="3" max="3" width="73.33203125" bestFit="1" customWidth="1"/>
    <col min="4" max="4" width="41.6640625" bestFit="1" customWidth="1"/>
  </cols>
  <sheetData>
    <row r="3" spans="2:4" x14ac:dyDescent="0.2">
      <c r="B3" s="44" t="s">
        <v>279</v>
      </c>
      <c r="C3" s="39" t="s">
        <v>280</v>
      </c>
      <c r="D3" s="40" t="s">
        <v>300</v>
      </c>
    </row>
    <row r="4" spans="2:4" x14ac:dyDescent="0.2">
      <c r="B4" s="27" t="s">
        <v>281</v>
      </c>
      <c r="C4" s="26" t="s">
        <v>282</v>
      </c>
      <c r="D4" s="26" t="s">
        <v>283</v>
      </c>
    </row>
    <row r="5" spans="2:4" x14ac:dyDescent="0.2">
      <c r="B5" s="27" t="s">
        <v>284</v>
      </c>
      <c r="C5" s="26" t="s">
        <v>285</v>
      </c>
      <c r="D5" s="26" t="s">
        <v>286</v>
      </c>
    </row>
    <row r="6" spans="2:4" x14ac:dyDescent="0.2">
      <c r="B6" s="27" t="s">
        <v>287</v>
      </c>
      <c r="C6" s="26" t="s">
        <v>288</v>
      </c>
      <c r="D6" s="26" t="s">
        <v>289</v>
      </c>
    </row>
    <row r="7" spans="2:4" x14ac:dyDescent="0.2">
      <c r="B7" s="27" t="s">
        <v>290</v>
      </c>
      <c r="C7" s="26" t="s">
        <v>291</v>
      </c>
      <c r="D7" s="26" t="s">
        <v>292</v>
      </c>
    </row>
    <row r="8" spans="2:4" x14ac:dyDescent="0.2">
      <c r="B8" s="27" t="s">
        <v>293</v>
      </c>
      <c r="C8" s="26" t="s">
        <v>294</v>
      </c>
      <c r="D8" s="26" t="s">
        <v>295</v>
      </c>
    </row>
    <row r="9" spans="2:4" x14ac:dyDescent="0.2">
      <c r="B9" s="46" t="s">
        <v>296</v>
      </c>
      <c r="C9" s="47" t="s">
        <v>297</v>
      </c>
      <c r="D9" s="47" t="s">
        <v>298</v>
      </c>
    </row>
    <row r="10" spans="2:4" x14ac:dyDescent="0.2">
      <c r="B10" s="48" t="s">
        <v>310</v>
      </c>
      <c r="C10" s="49" t="s">
        <v>311</v>
      </c>
      <c r="D10" s="49" t="s">
        <v>312</v>
      </c>
    </row>
    <row r="13" spans="2:4" ht="15" customHeight="1" x14ac:dyDescent="0.2">
      <c r="B13" s="22" t="s">
        <v>299</v>
      </c>
    </row>
    <row r="14" spans="2:4" ht="15" customHeight="1" x14ac:dyDescent="0.2">
      <c r="B14" s="65" t="s">
        <v>313</v>
      </c>
      <c r="C14" s="65"/>
      <c r="D14" s="65"/>
    </row>
    <row r="15" spans="2:4" x14ac:dyDescent="0.2">
      <c r="B15" s="65"/>
      <c r="C15" s="65"/>
      <c r="D15" s="65"/>
    </row>
    <row r="16" spans="2:4" x14ac:dyDescent="0.2">
      <c r="B16" s="65"/>
      <c r="C16" s="65"/>
      <c r="D16" s="65"/>
    </row>
    <row r="17" spans="2:4" x14ac:dyDescent="0.2">
      <c r="B17" s="38"/>
      <c r="C17" s="38"/>
      <c r="D17" s="38"/>
    </row>
  </sheetData>
  <mergeCells count="1">
    <mergeCell ref="B14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00_Dataset</vt:lpstr>
      <vt:lpstr>01_Descriptive_Analysis</vt:lpstr>
      <vt:lpstr>02_EDA_Correlations</vt:lpstr>
      <vt:lpstr>03_Recency_Analysis</vt:lpstr>
      <vt:lpstr>04_Engagement_Analysis</vt:lpstr>
      <vt:lpstr>05_Product_Analysis</vt:lpstr>
      <vt:lpstr>06_Feedback_Analysis</vt:lpstr>
      <vt:lpstr>07_Marketing_Strategy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Polignano</cp:lastModifiedBy>
  <cp:revision>1</cp:revision>
  <dcterms:created xsi:type="dcterms:W3CDTF">2025-05-29T15:21:44Z</dcterms:created>
  <dcterms:modified xsi:type="dcterms:W3CDTF">2025-10-18T15:42:47Z</dcterms:modified>
  <dc:language>it-IT</dc:language>
</cp:coreProperties>
</file>